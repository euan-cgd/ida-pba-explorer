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uanRitchie(eritchie\Downloads\"/>
    </mc:Choice>
  </mc:AlternateContent>
  <xr:revisionPtr revIDLastSave="0" documentId="13_ncr:1_{2DB712A5-0F45-4E05-BDF2-6E5050793E23}" xr6:coauthVersionLast="47" xr6:coauthVersionMax="47" xr10:uidLastSave="{00000000-0000-0000-0000-000000000000}"/>
  <bookViews>
    <workbookView xWindow="-108" yWindow="-108" windowWidth="23256" windowHeight="12456" activeTab="3" xr2:uid="{179FD583-63BE-499B-83F4-67F9D57F4ADB}"/>
  </bookViews>
  <sheets>
    <sheet name="Table 1" sheetId="1" r:id="rId1"/>
    <sheet name="Sheet1" sheetId="3" r:id="rId2"/>
    <sheet name="Table 2" sheetId="2" r:id="rId3"/>
    <sheet name="forR" sheetId="4" r:id="rId4"/>
  </sheets>
  <definedNames>
    <definedName name="_xlnm._FilterDatabase" localSheetId="0" hidden="1">'Table 1'!$A$7:$AB$99</definedName>
    <definedName name="_xlnm._FilterDatabase" localSheetId="2" hidden="1">'Table 2'!$B$6:$O$90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 l="1"/>
  <c r="J7" i="2"/>
  <c r="G100"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8" i="1"/>
  <c r="O8" i="2"/>
  <c r="N8" i="2" s="1"/>
  <c r="O9" i="2"/>
  <c r="N9" i="2" s="1"/>
  <c r="L9" i="2" s="1"/>
  <c r="O10" i="2"/>
  <c r="N10" i="2" s="1"/>
  <c r="O11" i="2"/>
  <c r="N11" i="2" s="1"/>
  <c r="O12" i="2"/>
  <c r="N12" i="2" s="1"/>
  <c r="O13" i="2"/>
  <c r="N13" i="2" s="1"/>
  <c r="O14" i="2"/>
  <c r="N14" i="2" s="1"/>
  <c r="O15" i="2"/>
  <c r="N15" i="2" s="1"/>
  <c r="O16" i="2"/>
  <c r="N16" i="2" s="1"/>
  <c r="O17" i="2"/>
  <c r="N17" i="2" s="1"/>
  <c r="O18" i="2"/>
  <c r="N18" i="2" s="1"/>
  <c r="O19" i="2"/>
  <c r="N19" i="2" s="1"/>
  <c r="O20" i="2"/>
  <c r="N20" i="2" s="1"/>
  <c r="O21" i="2"/>
  <c r="N21" i="2" s="1"/>
  <c r="O22" i="2"/>
  <c r="N22" i="2" s="1"/>
  <c r="O23" i="2"/>
  <c r="N23" i="2" s="1"/>
  <c r="O24" i="2"/>
  <c r="N24" i="2" s="1"/>
  <c r="O25" i="2"/>
  <c r="N25" i="2" s="1"/>
  <c r="O26" i="2"/>
  <c r="N26" i="2" s="1"/>
  <c r="O27" i="2"/>
  <c r="N27" i="2" s="1"/>
  <c r="O28" i="2"/>
  <c r="N28" i="2" s="1"/>
  <c r="O29" i="2"/>
  <c r="N29" i="2" s="1"/>
  <c r="O30" i="2"/>
  <c r="N30" i="2" s="1"/>
  <c r="O31" i="2"/>
  <c r="N31" i="2" s="1"/>
  <c r="O32" i="2"/>
  <c r="N32" i="2" s="1"/>
  <c r="O33" i="2"/>
  <c r="N33" i="2" s="1"/>
  <c r="O34" i="2"/>
  <c r="N34" i="2" s="1"/>
  <c r="O35" i="2"/>
  <c r="N35" i="2" s="1"/>
  <c r="O36" i="2"/>
  <c r="N36" i="2" s="1"/>
  <c r="O37" i="2"/>
  <c r="N37" i="2" s="1"/>
  <c r="O38" i="2"/>
  <c r="N38" i="2" s="1"/>
  <c r="O39" i="2"/>
  <c r="N39" i="2" s="1"/>
  <c r="O40" i="2"/>
  <c r="N40" i="2" s="1"/>
  <c r="O41" i="2"/>
  <c r="N41" i="2" s="1"/>
  <c r="O42" i="2"/>
  <c r="N42" i="2" s="1"/>
  <c r="O43" i="2"/>
  <c r="N43" i="2" s="1"/>
  <c r="O44" i="2"/>
  <c r="N44" i="2" s="1"/>
  <c r="O45" i="2"/>
  <c r="N45" i="2" s="1"/>
  <c r="O46" i="2"/>
  <c r="N46" i="2" s="1"/>
  <c r="O47" i="2"/>
  <c r="N47" i="2" s="1"/>
  <c r="O48" i="2"/>
  <c r="N48" i="2" s="1"/>
  <c r="O49" i="2"/>
  <c r="N49" i="2" s="1"/>
  <c r="O50" i="2"/>
  <c r="N50" i="2" s="1"/>
  <c r="O51" i="2"/>
  <c r="N51" i="2" s="1"/>
  <c r="O52" i="2"/>
  <c r="N52" i="2" s="1"/>
  <c r="O53" i="2"/>
  <c r="N53" i="2" s="1"/>
  <c r="O54" i="2"/>
  <c r="N54" i="2" s="1"/>
  <c r="O55" i="2"/>
  <c r="N55" i="2" s="1"/>
  <c r="O56" i="2"/>
  <c r="N56" i="2" s="1"/>
  <c r="O57" i="2"/>
  <c r="N57" i="2" s="1"/>
  <c r="O58" i="2"/>
  <c r="N58" i="2" s="1"/>
  <c r="O59" i="2"/>
  <c r="N59" i="2" s="1"/>
  <c r="O60" i="2"/>
  <c r="N60" i="2" s="1"/>
  <c r="O61" i="2"/>
  <c r="N61" i="2" s="1"/>
  <c r="O62" i="2"/>
  <c r="N62" i="2" s="1"/>
  <c r="O63" i="2"/>
  <c r="N63" i="2" s="1"/>
  <c r="O64" i="2"/>
  <c r="N64" i="2" s="1"/>
  <c r="O65" i="2"/>
  <c r="N65" i="2" s="1"/>
  <c r="O66" i="2"/>
  <c r="N66" i="2" s="1"/>
  <c r="O67" i="2"/>
  <c r="N67" i="2" s="1"/>
  <c r="O68" i="2"/>
  <c r="N68" i="2" s="1"/>
  <c r="O69" i="2"/>
  <c r="N69" i="2" s="1"/>
  <c r="O70" i="2"/>
  <c r="N70" i="2" s="1"/>
  <c r="O71" i="2"/>
  <c r="N71" i="2" s="1"/>
  <c r="O72" i="2"/>
  <c r="N72" i="2" s="1"/>
  <c r="O73" i="2"/>
  <c r="N73" i="2" s="1"/>
  <c r="O74" i="2"/>
  <c r="N74" i="2" s="1"/>
  <c r="O75" i="2"/>
  <c r="N75" i="2" s="1"/>
  <c r="O76" i="2"/>
  <c r="N76" i="2" s="1"/>
  <c r="O77" i="2"/>
  <c r="N77" i="2" s="1"/>
  <c r="O78" i="2"/>
  <c r="N78" i="2" s="1"/>
  <c r="O79" i="2"/>
  <c r="N79" i="2" s="1"/>
  <c r="O80" i="2"/>
  <c r="N80" i="2" s="1"/>
  <c r="O81" i="2"/>
  <c r="N81" i="2" s="1"/>
  <c r="O82" i="2"/>
  <c r="N82" i="2" s="1"/>
  <c r="O83" i="2"/>
  <c r="N83" i="2" s="1"/>
  <c r="O84" i="2"/>
  <c r="N84" i="2" s="1"/>
  <c r="O85" i="2"/>
  <c r="N85" i="2" s="1"/>
  <c r="L85" i="2" s="1"/>
  <c r="O86" i="2"/>
  <c r="N86" i="2" s="1"/>
  <c r="O87" i="2"/>
  <c r="N87" i="2" s="1"/>
  <c r="O88" i="2"/>
  <c r="N88" i="2" s="1"/>
  <c r="O89" i="2"/>
  <c r="N89" i="2" s="1"/>
  <c r="O90" i="2"/>
  <c r="N90" i="2" s="1"/>
  <c r="O7" i="2"/>
  <c r="J8" i="2"/>
  <c r="J10" i="2"/>
  <c r="L10" i="2" s="1"/>
  <c r="J11" i="2"/>
  <c r="L11" i="2" s="1"/>
  <c r="J12" i="2"/>
  <c r="J13" i="2"/>
  <c r="J14" i="2"/>
  <c r="J15" i="2"/>
  <c r="J16" i="2"/>
  <c r="J17" i="2"/>
  <c r="J18" i="2"/>
  <c r="J19" i="2"/>
  <c r="J20" i="2"/>
  <c r="J21" i="2"/>
  <c r="L21" i="2" s="1"/>
  <c r="J22" i="2"/>
  <c r="J23" i="2"/>
  <c r="J24" i="2"/>
  <c r="J25" i="2"/>
  <c r="J26" i="2"/>
  <c r="J27" i="2"/>
  <c r="L27" i="2" s="1"/>
  <c r="J28" i="2"/>
  <c r="J29" i="2"/>
  <c r="J30" i="2"/>
  <c r="J31" i="2"/>
  <c r="J32" i="2"/>
  <c r="J33" i="2"/>
  <c r="J34" i="2"/>
  <c r="J35" i="2"/>
  <c r="J36" i="2"/>
  <c r="J37" i="2"/>
  <c r="J38" i="2"/>
  <c r="J39" i="2"/>
  <c r="J40" i="2"/>
  <c r="J41" i="2"/>
  <c r="J42" i="2"/>
  <c r="J43" i="2"/>
  <c r="J44" i="2"/>
  <c r="J45" i="2"/>
  <c r="J46" i="2"/>
  <c r="J47" i="2"/>
  <c r="J48" i="2"/>
  <c r="L48" i="2" s="1"/>
  <c r="J49" i="2"/>
  <c r="J50" i="2"/>
  <c r="J51" i="2"/>
  <c r="J52" i="2"/>
  <c r="J53" i="2"/>
  <c r="J54" i="2"/>
  <c r="J55" i="2"/>
  <c r="J56" i="2"/>
  <c r="J57" i="2"/>
  <c r="J58" i="2"/>
  <c r="J59" i="2"/>
  <c r="J60" i="2"/>
  <c r="L60" i="2" s="1"/>
  <c r="J61" i="2"/>
  <c r="J62" i="2"/>
  <c r="J63" i="2"/>
  <c r="L63" i="2" s="1"/>
  <c r="J64" i="2"/>
  <c r="J65" i="2"/>
  <c r="J66" i="2"/>
  <c r="J67" i="2"/>
  <c r="J68" i="2"/>
  <c r="L68" i="2" s="1"/>
  <c r="J69" i="2"/>
  <c r="L69" i="2" s="1"/>
  <c r="J70" i="2"/>
  <c r="J71" i="2"/>
  <c r="J72" i="2"/>
  <c r="J73" i="2"/>
  <c r="J74" i="2"/>
  <c r="J75" i="2"/>
  <c r="J76" i="2"/>
  <c r="J77" i="2"/>
  <c r="J78" i="2"/>
  <c r="L78" i="2" s="1"/>
  <c r="J79" i="2"/>
  <c r="L79" i="2" s="1"/>
  <c r="J80" i="2"/>
  <c r="J81" i="2"/>
  <c r="L81" i="2" s="1"/>
  <c r="J82" i="2"/>
  <c r="L82" i="2" s="1"/>
  <c r="J83" i="2"/>
  <c r="L83" i="2" s="1"/>
  <c r="J84" i="2"/>
  <c r="L84" i="2" s="1"/>
  <c r="J85" i="2"/>
  <c r="J86" i="2"/>
  <c r="L86" i="2" s="1"/>
  <c r="J87" i="2"/>
  <c r="J88" i="2"/>
  <c r="J89" i="2"/>
  <c r="J90" i="2"/>
  <c r="L73" i="2" l="1"/>
  <c r="L61" i="2"/>
  <c r="L49" i="2"/>
  <c r="L37" i="2"/>
  <c r="L25" i="2"/>
  <c r="L13" i="2"/>
  <c r="L71" i="2"/>
  <c r="L59" i="2"/>
  <c r="L47" i="2"/>
  <c r="L35" i="2"/>
  <c r="L23" i="2"/>
  <c r="L70" i="2"/>
  <c r="L58" i="2"/>
  <c r="L46" i="2"/>
  <c r="L34" i="2"/>
  <c r="L22" i="2"/>
  <c r="L72" i="2"/>
  <c r="L36" i="2"/>
  <c r="L24" i="2"/>
  <c r="L12" i="2"/>
  <c r="L87" i="2"/>
  <c r="L75" i="2"/>
  <c r="L51" i="2"/>
  <c r="L39" i="2"/>
  <c r="L15" i="2"/>
  <c r="L74" i="2"/>
  <c r="L62" i="2"/>
  <c r="L50" i="2"/>
  <c r="L38" i="2"/>
  <c r="L26" i="2"/>
  <c r="L14" i="2"/>
  <c r="L57" i="2"/>
  <c r="L45" i="2"/>
  <c r="L33" i="2"/>
  <c r="L80" i="2"/>
  <c r="L56" i="2"/>
  <c r="L44" i="2"/>
  <c r="L32" i="2"/>
  <c r="L20" i="2"/>
  <c r="L67" i="2"/>
  <c r="L55" i="2"/>
  <c r="L43" i="2"/>
  <c r="L31" i="2"/>
  <c r="L19" i="2"/>
  <c r="L88" i="2"/>
  <c r="L76" i="2"/>
  <c r="L64" i="2"/>
  <c r="L52" i="2"/>
  <c r="L40" i="2"/>
  <c r="L28" i="2"/>
  <c r="L16" i="2"/>
  <c r="L8" i="2"/>
  <c r="L90" i="2"/>
  <c r="L66" i="2"/>
  <c r="L54" i="2"/>
  <c r="L42" i="2"/>
  <c r="L30" i="2"/>
  <c r="L18" i="2"/>
  <c r="L89" i="2"/>
  <c r="L77" i="2"/>
  <c r="L65" i="2"/>
  <c r="L53" i="2"/>
  <c r="L41" i="2"/>
  <c r="L29" i="2"/>
  <c r="L17" i="2"/>
  <c r="H1" i="2"/>
  <c r="G1" i="2"/>
  <c r="N7" i="2"/>
  <c r="L7" i="2" s="1"/>
  <c r="F1" i="2"/>
</calcChain>
</file>

<file path=xl/sharedStrings.xml><?xml version="1.0" encoding="utf-8"?>
<sst xmlns="http://schemas.openxmlformats.org/spreadsheetml/2006/main" count="546" uniqueCount="224">
  <si>
    <t>(SDR million)</t>
  </si>
  <si>
    <t>FY25</t>
  </si>
  <si>
    <t>FY24</t>
  </si>
  <si>
    <t xml:space="preserve">National IDA Allocations </t>
  </si>
  <si>
    <t>FY25 Reallocations                           (IV)</t>
  </si>
  <si>
    <t>Country</t>
  </si>
  <si>
    <t>Grants</t>
  </si>
  <si>
    <t>Credits</t>
  </si>
  <si>
    <t xml:space="preserve">Total </t>
  </si>
  <si>
    <t>Africa Eastern and Southern</t>
  </si>
  <si>
    <t>Burundi</t>
  </si>
  <si>
    <t>g/</t>
  </si>
  <si>
    <t>0.0</t>
  </si>
  <si>
    <t>Comoros</t>
  </si>
  <si>
    <t>Congo, Democratic Republic of</t>
  </si>
  <si>
    <t>Eritrea</t>
  </si>
  <si>
    <t>Eswatini</t>
  </si>
  <si>
    <t>j/</t>
  </si>
  <si>
    <t>Ethiopia</t>
  </si>
  <si>
    <t>Kenya</t>
  </si>
  <si>
    <t>Lesotho</t>
  </si>
  <si>
    <t>Madagascar</t>
  </si>
  <si>
    <t>Malawi</t>
  </si>
  <si>
    <t>Mozambique</t>
  </si>
  <si>
    <t>Rwanda</t>
  </si>
  <si>
    <t>Sao Tome and Principe</t>
  </si>
  <si>
    <t>f/</t>
  </si>
  <si>
    <t>Somalia</t>
  </si>
  <si>
    <t>South Sudan</t>
  </si>
  <si>
    <t>Sudan</t>
  </si>
  <si>
    <t>Tanzania</t>
  </si>
  <si>
    <t>Uganda</t>
  </si>
  <si>
    <t>Zambia</t>
  </si>
  <si>
    <t>Zimbabwe</t>
  </si>
  <si>
    <t>Subtotal</t>
  </si>
  <si>
    <t>Africa Western and Central</t>
  </si>
  <si>
    <t>Benin</t>
  </si>
  <si>
    <t>Burkina Faso</t>
  </si>
  <si>
    <t>Cameroon</t>
  </si>
  <si>
    <t>Cape Verde</t>
  </si>
  <si>
    <t>Central African Republic</t>
  </si>
  <si>
    <t>Chad</t>
  </si>
  <si>
    <t>Congo, Republic of</t>
  </si>
  <si>
    <t>Cote d'Ivoire</t>
  </si>
  <si>
    <t>Gambia, The</t>
  </si>
  <si>
    <t>Ghana</t>
  </si>
  <si>
    <t>Guinea</t>
  </si>
  <si>
    <t>Guinea-Bissau</t>
  </si>
  <si>
    <t>Liberia</t>
  </si>
  <si>
    <t>Mali</t>
  </si>
  <si>
    <t>Mauritania</t>
  </si>
  <si>
    <t>Niger</t>
  </si>
  <si>
    <t>Nigeria</t>
  </si>
  <si>
    <t>Senegal</t>
  </si>
  <si>
    <t>Sierra Leone</t>
  </si>
  <si>
    <t>Togo</t>
  </si>
  <si>
    <t>East Asia and the Pacific</t>
  </si>
  <si>
    <t>Cambodia</t>
  </si>
  <si>
    <t>Fiji</t>
  </si>
  <si>
    <t>Kiribati</t>
  </si>
  <si>
    <t>Lao People's Democratic Republic</t>
  </si>
  <si>
    <t>Marshall Islands</t>
  </si>
  <si>
    <t>Micronesia, Federated States of</t>
  </si>
  <si>
    <t>k/</t>
  </si>
  <si>
    <t>Myanmar</t>
  </si>
  <si>
    <t>Papua New Guinea</t>
  </si>
  <si>
    <t>Samoa</t>
  </si>
  <si>
    <t>Solomon Islands</t>
  </si>
  <si>
    <t>Timor-Leste</t>
  </si>
  <si>
    <t>Tonga</t>
  </si>
  <si>
    <t>Tuvalu</t>
  </si>
  <si>
    <t>Vanuatu</t>
  </si>
  <si>
    <t>Europe and Central Asia</t>
  </si>
  <si>
    <t>Kosovo</t>
  </si>
  <si>
    <t>Kyrgyz Republic</t>
  </si>
  <si>
    <t>Tajikistan</t>
  </si>
  <si>
    <t>Uzbekistan</t>
  </si>
  <si>
    <t>Latin America and the Caribbean</t>
  </si>
  <si>
    <t>Belize</t>
  </si>
  <si>
    <t>Dominica</t>
  </si>
  <si>
    <t>Grenada</t>
  </si>
  <si>
    <t>Guyana</t>
  </si>
  <si>
    <t>Haiti</t>
  </si>
  <si>
    <t>Honduras</t>
  </si>
  <si>
    <t>Nicaragua</t>
  </si>
  <si>
    <t>St. Lucia</t>
  </si>
  <si>
    <t>St. Vincent and the Grenadines</t>
  </si>
  <si>
    <t>Suriname</t>
  </si>
  <si>
    <t>Middle East and North Africa</t>
  </si>
  <si>
    <t>Djibouti</t>
  </si>
  <si>
    <t>Syria</t>
  </si>
  <si>
    <t>Yemen, Republic of</t>
  </si>
  <si>
    <t>South Asia</t>
  </si>
  <si>
    <t>Afghanistan</t>
  </si>
  <si>
    <t>Bangladesh</t>
  </si>
  <si>
    <t>Bhutan</t>
  </si>
  <si>
    <t>Maldives</t>
  </si>
  <si>
    <t>Nepal</t>
  </si>
  <si>
    <t>Pakistan</t>
  </si>
  <si>
    <t>Sri Lanka</t>
  </si>
  <si>
    <t>Total Regions</t>
  </si>
  <si>
    <r>
      <t xml:space="preserve">Allocations (before FY25 set-asides and reallocations and FY24 front-/back- loading) </t>
    </r>
    <r>
      <rPr>
        <b/>
        <vertAlign val="superscript"/>
        <sz val="12"/>
        <rFont val="Times New Roman"/>
        <family val="1"/>
      </rPr>
      <t>a/</t>
    </r>
    <r>
      <rPr>
        <b/>
        <sz val="12"/>
        <rFont val="Times New Roman"/>
        <family val="1"/>
      </rPr>
      <t xml:space="preserve">
(I)</t>
    </r>
  </si>
  <si>
    <r>
      <t xml:space="preserve">Set-aside Adjustments </t>
    </r>
    <r>
      <rPr>
        <b/>
        <vertAlign val="superscript"/>
        <sz val="14"/>
        <rFont val="Times New Roman"/>
        <family val="1"/>
      </rPr>
      <t>b/</t>
    </r>
    <r>
      <rPr>
        <b/>
        <sz val="14"/>
        <rFont val="Times New Roman"/>
        <family val="1"/>
      </rPr>
      <t xml:space="preserve">                        </t>
    </r>
    <r>
      <rPr>
        <b/>
        <sz val="12"/>
        <rFont val="Times New Roman"/>
        <family val="1"/>
      </rPr>
      <t>(II)</t>
    </r>
  </si>
  <si>
    <t>b/</t>
  </si>
  <si>
    <t>g/, b/</t>
  </si>
  <si>
    <t>i/</t>
  </si>
  <si>
    <r>
      <t xml:space="preserve">FY24 Front/Back Loading </t>
    </r>
    <r>
      <rPr>
        <b/>
        <vertAlign val="superscript"/>
        <sz val="12"/>
        <rFont val="Times New Roman"/>
        <family val="1"/>
      </rPr>
      <t>c/</t>
    </r>
    <r>
      <rPr>
        <b/>
        <sz val="12"/>
        <rFont val="Times New Roman"/>
        <family val="1"/>
      </rPr>
      <t xml:space="preserve">                                 (III)</t>
    </r>
  </si>
  <si>
    <r>
      <t xml:space="preserve">Final Allocations (after FY25 set-asides and reallocations and FY24 front-/back- loading) </t>
    </r>
    <r>
      <rPr>
        <b/>
        <vertAlign val="superscript"/>
        <sz val="12"/>
        <rFont val="Times New Roman"/>
        <family val="1"/>
      </rPr>
      <t>d/</t>
    </r>
    <r>
      <rPr>
        <b/>
        <sz val="12"/>
        <rFont val="Times New Roman"/>
        <family val="1"/>
      </rPr>
      <t xml:space="preserve">   
(V=I+II+III+IV)</t>
    </r>
  </si>
  <si>
    <t xml:space="preserve">d/ Reflects FY25 country allocations after FY25 set-aside adjustment, FY24 front-/back-loading adjustment and FY25 reallocations. </t>
  </si>
  <si>
    <r>
      <t xml:space="preserve">PBA-SMLs </t>
    </r>
    <r>
      <rPr>
        <vertAlign val="superscript"/>
        <sz val="10"/>
        <rFont val="Times New Roman"/>
        <family val="1"/>
      </rPr>
      <t>e/</t>
    </r>
  </si>
  <si>
    <t>c/ Front-/back-loading figures represent FY24 front- or back-loading of resources based on actual commitments as of June 30, 2024. Positive values indicate back-loading, while negative values indicate front-loading.</t>
  </si>
  <si>
    <t>h/</t>
  </si>
  <si>
    <t>b/ FY25 Country Allocation is adjusted by a set-aside amount under the SDFP. The following countries faced set-asides in FY25: Djibouti, Lesotho, Nicaragua, Timor-Leste, and Uganda. In FY25, Papua New Guinea, Tonga and Sao Tome and Principe recovered set-asides applied in FY24 while Maldives, Timor-Leste, Nicaragua and Uganda faced an “SDFP discount”. Maldives' grant eligibility was 0% in FY25 due to hardening of terms under the SDFP, effective July 1, 2024.</t>
  </si>
  <si>
    <t>f/, k/</t>
  </si>
  <si>
    <t>l/</t>
  </si>
  <si>
    <t>a/ Reflects FY25 country allocations before FY25 set-aside adjustment, FY24 front-/back-loading adjustment, and FY25 reallocations. Also, total amounts include Myanmar's reduced amount of country allocation as well as adjusted financing terms for select countries (see footnotes "k" and "l").</t>
  </si>
  <si>
    <t>Population (million)</t>
  </si>
  <si>
    <t>GNI per Capita (US$)</t>
  </si>
  <si>
    <t>Country Performance Rating (CPR)</t>
  </si>
  <si>
    <t>BJ</t>
  </si>
  <si>
    <t>BF</t>
  </si>
  <si>
    <t>BI</t>
  </si>
  <si>
    <t>CM</t>
  </si>
  <si>
    <t>na</t>
  </si>
  <si>
    <t>CV</t>
  </si>
  <si>
    <t>CF</t>
  </si>
  <si>
    <t>TD</t>
  </si>
  <si>
    <t>KM</t>
  </si>
  <si>
    <t>ZR</t>
  </si>
  <si>
    <t>CG</t>
  </si>
  <si>
    <t>CI</t>
  </si>
  <si>
    <t>ER</t>
  </si>
  <si>
    <t>ET</t>
  </si>
  <si>
    <t>GM</t>
  </si>
  <si>
    <t>GH</t>
  </si>
  <si>
    <t>GN</t>
  </si>
  <si>
    <t>GW</t>
  </si>
  <si>
    <t>KE</t>
  </si>
  <si>
    <t>LS</t>
  </si>
  <si>
    <t>LR</t>
  </si>
  <si>
    <t>MG</t>
  </si>
  <si>
    <t>MW</t>
  </si>
  <si>
    <t>ML</t>
  </si>
  <si>
    <t>MR</t>
  </si>
  <si>
    <t>MZ</t>
  </si>
  <si>
    <t>NE</t>
  </si>
  <si>
    <t>NG</t>
  </si>
  <si>
    <t>RW</t>
  </si>
  <si>
    <t>ST</t>
  </si>
  <si>
    <t>SN</t>
  </si>
  <si>
    <t>SL</t>
  </si>
  <si>
    <t>SO</t>
  </si>
  <si>
    <t>SD</t>
  </si>
  <si>
    <t>SS</t>
  </si>
  <si>
    <t>TZ</t>
  </si>
  <si>
    <t>TG</t>
  </si>
  <si>
    <t>UG</t>
  </si>
  <si>
    <t>ZM</t>
  </si>
  <si>
    <t>ZW</t>
  </si>
  <si>
    <t>KH</t>
  </si>
  <si>
    <t>FJ</t>
  </si>
  <si>
    <t>KI</t>
  </si>
  <si>
    <t>LA</t>
  </si>
  <si>
    <t>MH</t>
  </si>
  <si>
    <t>FM</t>
  </si>
  <si>
    <t>MM</t>
  </si>
  <si>
    <t>PG</t>
  </si>
  <si>
    <t>WS</t>
  </si>
  <si>
    <t>SB</t>
  </si>
  <si>
    <t>TP</t>
  </si>
  <si>
    <t>TO</t>
  </si>
  <si>
    <t>TV</t>
  </si>
  <si>
    <t>VU</t>
  </si>
  <si>
    <t>XK</t>
  </si>
  <si>
    <t>KG</t>
  </si>
  <si>
    <t>TJ</t>
  </si>
  <si>
    <t>UZ</t>
  </si>
  <si>
    <t>DM</t>
  </si>
  <si>
    <t>GD</t>
  </si>
  <si>
    <t>GY</t>
  </si>
  <si>
    <t>HT</t>
  </si>
  <si>
    <t>HN</t>
  </si>
  <si>
    <t>NI</t>
  </si>
  <si>
    <t>LC</t>
  </si>
  <si>
    <t>VC</t>
  </si>
  <si>
    <t>DJ</t>
  </si>
  <si>
    <t>SY</t>
  </si>
  <si>
    <t>RY</t>
  </si>
  <si>
    <t>AF</t>
  </si>
  <si>
    <t>BD</t>
  </si>
  <si>
    <t>BT</t>
  </si>
  <si>
    <t>MV</t>
  </si>
  <si>
    <t>NP</t>
  </si>
  <si>
    <t>PK</t>
  </si>
  <si>
    <t xml:space="preserve">Average of CPIA Clusters A, B &amp; C </t>
  </si>
  <si>
    <t xml:space="preserve">CPIA Cluster D     </t>
  </si>
  <si>
    <t>Portfolio Performance Rating (PPR)</t>
  </si>
  <si>
    <t>Notes:</t>
  </si>
  <si>
    <t>b/ The source for the population and GNI per capita data is the Development Economics Data Group (DECDG). Per capita data shown for 2023 are either actual figures or, when actual figures were not available, estimates as of June 2024, when IDA country allocations for FY25 were determined. “NA” signifies countries for which data estimates were available in ranges only per earlier disclosure under Annex 2 of Bank Directive "Financial Terms and Conditions of Bank Financing" for FY25.</t>
  </si>
  <si>
    <t>c/ Eritrea and Zimbabwe are inactive IDA countries with credits in non-accrual status. Syrian Arab Republic has been removed from the list of countries with loans/credits in nonaccrual status, effective May 12, 2025.</t>
  </si>
  <si>
    <t>h/ IDA-only countries in debt distress or at a high risk of debt distress (IDA-only red-light countries) are eligible to receive 100% of financing as grants, subject to a ceiling of US$1 billion under the Country Allocations, per Fiscal Year, per country. The ceiling of US$1 billion applies only to grant allocations under the Country Allocations and does not apply to grants from IDA windows.</t>
  </si>
  <si>
    <t xml:space="preserve">l/ Myanmar's allocation was reduced from SDR249.2 million (Regular term credits and SMLs) to SDR62.3 million grants (25%). Vanuatu’s financing terms changed from 50% grants to 100% grants, effective January 14, 2025. </t>
  </si>
  <si>
    <t>f/, g/</t>
  </si>
  <si>
    <t>f/, g/, k/</t>
  </si>
  <si>
    <t>g/, l/</t>
  </si>
  <si>
    <t>b/, g/</t>
  </si>
  <si>
    <t>a/ The CPR is calculated as 0.24 x CPIA (A, B, and C) + 0.68 x CPIA (D) + 0.08 x PPR. For details on the CPR formula, see Annex 3 of See IDA20 Replenishment Report “Building Back Better from the Crisis: Toward a Green, Resilient and Inclusive Future.” "NA" signifies that the country's CPIA was either not available (Syrian Arab Republic) or not disclosed at the time of allocations as a country was an IBRD-only as the time of an assessment.</t>
  </si>
  <si>
    <t>e/ Countries eligible to receive SMLs have a small portion of their allocations as PBA-SMLs. Countries' eligibility to receive PBA-SMLs is determined at the beginning of each FY based on the latest DSA available and is fixed for the duration of the FY.</t>
  </si>
  <si>
    <t>j/ Eswatini and Belize were reclassified from IBRD-only to Blend countries, effective July 1, 2024. Suriname was reclassified from IBRD-only to Blend country, effective October 18, 2024</t>
  </si>
  <si>
    <t>i/ IDA countries in protracted non-accrual status as of July 1, 2024 (inactive). Syrian Arab Republic has been removed from the list of countries with loans/credits in nonaccrual status, effective May 12, 2025. It received 100% of financing as IDA Grants, as approved by the Executive Directors of IDA.</t>
  </si>
  <si>
    <t>g/ Gap countries (GNI per capita exceeding the IDA operational cutoff for more than two consecutive years) in FY25: Bangladesh, Benin, Cambodia, Ghana, Guyana, Haiti, Honduras, Kosovo, Lao PDR, Lesotho, Mauritania, Nicaragua, Senegal and Sri Lanka. Cote d'Ivoire was reclassified from Gap to Blend Country, effective October 9, 2024. Myanmar was reclassified from Gap to IDA-only in FY25, effective July 1, 2024.</t>
  </si>
  <si>
    <t xml:space="preserve">f/ Country allocations include final FCV Envelope allocation. See Annex 1 in the paper for details. </t>
  </si>
  <si>
    <t>k/ Haiti (Gap country), Federated States of Micronesia (IDA-only Small State at moderate risk of debt distress), and Somalia (IDA-only at moderate risk of debt distress) continue receiving IDA financing fully on grant terms in FY25 as per moratorium on hardening of terms during FY24 and FY25 (see IDA20 MTR adjustments).</t>
  </si>
  <si>
    <t>Table 2. Key Input Data for FY25 Allocations</t>
  </si>
  <si>
    <t>Table 1. IDA Country Allocations in FY25</t>
  </si>
  <si>
    <t>s</t>
  </si>
  <si>
    <t>country</t>
  </si>
  <si>
    <t>CPIA_ave_abc</t>
  </si>
  <si>
    <t>CPIA_D</t>
  </si>
  <si>
    <t>PPR</t>
  </si>
  <si>
    <t>CPR</t>
  </si>
  <si>
    <t>pop</t>
  </si>
  <si>
    <t>gnipc</t>
  </si>
  <si>
    <t>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</si>
</sst>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0.0"/>
    <numFmt numFmtId="167" formatCode="0.00000"/>
    <numFmt numFmtId="175" formatCode="_(* #,##0.0000_);_(* \(#,##0.0000\);_(* &quot;-&quot;??_);_(@_)"/>
  </numFmts>
  <fonts count="25" x14ac:knownFonts="1">
    <font>
      <sz val="11"/>
      <color theme="1"/>
      <name val="Aptos Narrow"/>
      <family val="2"/>
      <scheme val="minor"/>
    </font>
    <font>
      <sz val="11"/>
      <color theme="1"/>
      <name val="Aptos Narrow"/>
      <family val="2"/>
      <scheme val="minor"/>
    </font>
    <font>
      <sz val="10"/>
      <name val="Arial"/>
      <family val="2"/>
    </font>
    <font>
      <b/>
      <sz val="12"/>
      <name val="Times New Roman"/>
      <family val="1"/>
    </font>
    <font>
      <b/>
      <vertAlign val="superscript"/>
      <sz val="12"/>
      <name val="Times New Roman"/>
      <family val="1"/>
    </font>
    <font>
      <sz val="12"/>
      <name val="Times New Roman"/>
      <family val="1"/>
    </font>
    <font>
      <sz val="12"/>
      <color theme="1"/>
      <name val="Times New Roman"/>
      <family val="1"/>
    </font>
    <font>
      <sz val="11"/>
      <color theme="1"/>
      <name val="Times New Roman"/>
      <family val="1"/>
    </font>
    <font>
      <sz val="12"/>
      <color rgb="FFFF0000"/>
      <name val="Times New Roman"/>
      <family val="1"/>
    </font>
    <font>
      <b/>
      <vertAlign val="superscript"/>
      <sz val="14"/>
      <name val="Times New Roman"/>
      <family val="1"/>
    </font>
    <font>
      <b/>
      <sz val="14"/>
      <name val="Times New Roman"/>
      <family val="1"/>
    </font>
    <font>
      <b/>
      <sz val="10"/>
      <name val="Times New Roman"/>
      <family val="1"/>
    </font>
    <font>
      <sz val="10"/>
      <name val="Times New Roman"/>
      <family val="1"/>
    </font>
    <font>
      <vertAlign val="superscript"/>
      <sz val="10"/>
      <name val="Times New Roman"/>
      <family val="1"/>
    </font>
    <font>
      <sz val="10"/>
      <color theme="1"/>
      <name val="Times New Roman"/>
      <family val="1"/>
    </font>
    <font>
      <sz val="11"/>
      <name val="Times New Roman"/>
      <family val="1"/>
    </font>
    <font>
      <b/>
      <sz val="10"/>
      <color theme="1"/>
      <name val="Times New Roman"/>
      <family val="1"/>
    </font>
    <font>
      <b/>
      <sz val="10.5"/>
      <color theme="1"/>
      <name val="Times New Roman"/>
      <family val="1"/>
    </font>
    <font>
      <b/>
      <sz val="14"/>
      <name val="Arial"/>
      <family val="2"/>
    </font>
    <font>
      <b/>
      <sz val="10"/>
      <name val="Arial"/>
      <family val="2"/>
    </font>
    <font>
      <sz val="10"/>
      <color theme="1"/>
      <name val="Arial"/>
      <family val="2"/>
    </font>
    <font>
      <i/>
      <sz val="10"/>
      <name val="Arial"/>
      <family val="2"/>
    </font>
    <font>
      <sz val="11"/>
      <name val="Aptos Narrow"/>
      <family val="2"/>
      <scheme val="minor"/>
    </font>
    <font>
      <sz val="12"/>
      <color theme="1"/>
      <name val="Arial"/>
      <family val="2"/>
    </font>
    <font>
      <i/>
      <sz val="10"/>
      <name val="Times New Roman"/>
      <family val="1"/>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38">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thin">
        <color indexed="64"/>
      </top>
      <bottom/>
      <diagonal/>
    </border>
    <border>
      <left style="thin">
        <color indexed="64"/>
      </left>
      <right style="hair">
        <color indexed="64"/>
      </right>
      <top style="hair">
        <color indexed="22"/>
      </top>
      <bottom style="hair">
        <color indexed="22"/>
      </bottom>
      <diagonal/>
    </border>
    <border>
      <left style="hair">
        <color indexed="64"/>
      </left>
      <right style="thin">
        <color indexed="64"/>
      </right>
      <top style="hair">
        <color indexed="22"/>
      </top>
      <bottom style="hair">
        <color indexed="22"/>
      </bottom>
      <diagonal/>
    </border>
    <border>
      <left style="hair">
        <color indexed="64"/>
      </left>
      <right style="hair">
        <color indexed="64"/>
      </right>
      <top style="hair">
        <color indexed="22"/>
      </top>
      <bottom/>
      <diagonal/>
    </border>
    <border>
      <left/>
      <right style="hair">
        <color indexed="64"/>
      </right>
      <top style="hair">
        <color indexed="22"/>
      </top>
      <bottom/>
      <diagonal/>
    </border>
    <border>
      <left/>
      <right style="hair">
        <color indexed="64"/>
      </right>
      <top style="hair">
        <color indexed="22"/>
      </top>
      <bottom style="hair">
        <color indexed="22"/>
      </bottom>
      <diagonal/>
    </border>
    <border>
      <left style="thin">
        <color indexed="64"/>
      </left>
      <right style="thin">
        <color indexed="64"/>
      </right>
      <top style="hair">
        <color indexed="22"/>
      </top>
      <bottom style="hair">
        <color indexed="22"/>
      </bottom>
      <diagonal/>
    </border>
    <border>
      <left style="hair">
        <color indexed="64"/>
      </left>
      <right style="thin">
        <color indexed="64"/>
      </right>
      <top style="hair">
        <color indexed="22"/>
      </top>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bottom style="hair">
        <color indexed="22"/>
      </bottom>
      <diagonal/>
    </border>
    <border>
      <left/>
      <right style="thin">
        <color indexed="64"/>
      </right>
      <top/>
      <bottom/>
      <diagonal/>
    </border>
    <border>
      <left style="hair">
        <color indexed="64"/>
      </left>
      <right style="thin">
        <color indexed="64"/>
      </right>
      <top style="hair">
        <color indexed="22"/>
      </top>
      <bottom style="thin">
        <color indexed="64"/>
      </bottom>
      <diagonal/>
    </border>
    <border>
      <left/>
      <right/>
      <top/>
      <bottom style="hair">
        <color indexed="22"/>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top/>
      <bottom/>
      <diagonal/>
    </border>
    <border>
      <left style="thin">
        <color indexed="64"/>
      </left>
      <right/>
      <top style="hair">
        <color indexed="22"/>
      </top>
      <bottom style="hair">
        <color indexed="22"/>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thin">
        <color indexed="64"/>
      </right>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cellStyleXfs>
  <cellXfs count="156">
    <xf numFmtId="0" fontId="0" fillId="0" borderId="0" xfId="0"/>
    <xf numFmtId="0" fontId="3" fillId="2" borderId="0" xfId="3" applyFont="1" applyFill="1"/>
    <xf numFmtId="0" fontId="3" fillId="2" borderId="0" xfId="3" applyFont="1" applyFill="1" applyAlignment="1">
      <alignment horizontal="center"/>
    </xf>
    <xf numFmtId="0" fontId="5" fillId="2" borderId="0" xfId="3" applyFont="1" applyFill="1"/>
    <xf numFmtId="9" fontId="5" fillId="2" borderId="0" xfId="2" applyFont="1" applyFill="1"/>
    <xf numFmtId="0" fontId="6" fillId="2" borderId="0" xfId="0" applyFont="1" applyFill="1"/>
    <xf numFmtId="0" fontId="7" fillId="2" borderId="0" xfId="0" applyFont="1" applyFill="1"/>
    <xf numFmtId="0" fontId="8" fillId="2" borderId="0" xfId="3" applyFont="1" applyFill="1"/>
    <xf numFmtId="0" fontId="5" fillId="2" borderId="0" xfId="3" applyFont="1" applyFill="1" applyAlignment="1">
      <alignment horizontal="center"/>
    </xf>
    <xf numFmtId="0" fontId="5" fillId="2" borderId="1" xfId="3" applyFont="1" applyFill="1" applyBorder="1"/>
    <xf numFmtId="0" fontId="3" fillId="2" borderId="2" xfId="3" applyFont="1" applyFill="1" applyBorder="1" applyAlignment="1">
      <alignment horizontal="center" vertical="center"/>
    </xf>
    <xf numFmtId="0" fontId="3" fillId="2" borderId="3" xfId="3" applyFont="1" applyFill="1" applyBorder="1" applyAlignment="1">
      <alignment horizontal="center" vertical="center"/>
    </xf>
    <xf numFmtId="0" fontId="3" fillId="2" borderId="2" xfId="3" applyFont="1" applyFill="1" applyBorder="1" applyAlignment="1">
      <alignment horizontal="center" vertical="center" wrapText="1"/>
    </xf>
    <xf numFmtId="0" fontId="3" fillId="2" borderId="0" xfId="3" applyFont="1" applyFill="1" applyAlignment="1">
      <alignment horizontal="center" vertical="center" wrapText="1"/>
    </xf>
    <xf numFmtId="0" fontId="3" fillId="2" borderId="7" xfId="3" applyFont="1" applyFill="1" applyBorder="1" applyAlignment="1">
      <alignment horizontal="center" vertical="top" wrapText="1"/>
    </xf>
    <xf numFmtId="0" fontId="3" fillId="2" borderId="8" xfId="3" applyFont="1" applyFill="1" applyBorder="1" applyAlignment="1">
      <alignment horizontal="center" vertical="top"/>
    </xf>
    <xf numFmtId="0" fontId="3" fillId="2" borderId="9" xfId="3" applyFont="1" applyFill="1" applyBorder="1" applyAlignment="1">
      <alignment horizontal="center" vertical="top" wrapText="1"/>
    </xf>
    <xf numFmtId="0" fontId="11" fillId="2" borderId="4" xfId="3" applyFont="1" applyFill="1" applyBorder="1" applyAlignment="1">
      <alignment horizontal="center" vertical="center" wrapText="1"/>
    </xf>
    <xf numFmtId="0" fontId="12" fillId="2" borderId="6" xfId="3" applyFont="1" applyFill="1" applyBorder="1" applyAlignment="1">
      <alignment horizontal="center" vertical="center" wrapText="1"/>
    </xf>
    <xf numFmtId="0" fontId="12" fillId="2" borderId="10" xfId="3" applyFont="1" applyFill="1" applyBorder="1" applyAlignment="1">
      <alignment horizontal="center" vertical="center" wrapText="1"/>
    </xf>
    <xf numFmtId="0" fontId="12" fillId="2" borderId="5" xfId="3" applyFont="1" applyFill="1" applyBorder="1" applyAlignment="1">
      <alignment horizontal="center" vertical="center" wrapText="1"/>
    </xf>
    <xf numFmtId="0" fontId="12" fillId="2" borderId="11" xfId="3" applyFont="1" applyFill="1" applyBorder="1" applyAlignment="1">
      <alignment horizontal="center" vertical="center" wrapText="1"/>
    </xf>
    <xf numFmtId="0" fontId="12" fillId="2" borderId="12" xfId="3" applyFont="1" applyFill="1" applyBorder="1" applyAlignment="1">
      <alignment horizontal="center" vertical="center" wrapText="1"/>
    </xf>
    <xf numFmtId="0" fontId="12" fillId="2" borderId="4" xfId="3" applyFont="1" applyFill="1" applyBorder="1" applyAlignment="1">
      <alignment horizontal="center" vertical="center" wrapText="1"/>
    </xf>
    <xf numFmtId="0" fontId="12" fillId="2" borderId="0" xfId="3" applyFont="1" applyFill="1" applyAlignment="1">
      <alignment horizontal="center" vertical="center" wrapText="1"/>
    </xf>
    <xf numFmtId="0" fontId="10" fillId="2" borderId="9" xfId="3" applyFont="1" applyFill="1" applyBorder="1"/>
    <xf numFmtId="0" fontId="12" fillId="2" borderId="13" xfId="3" applyFont="1" applyFill="1" applyBorder="1" applyAlignment="1">
      <alignment wrapText="1"/>
    </xf>
    <xf numFmtId="0" fontId="12" fillId="2" borderId="0" xfId="3" applyFont="1" applyFill="1" applyAlignment="1">
      <alignment wrapText="1"/>
    </xf>
    <xf numFmtId="0" fontId="12" fillId="2" borderId="14" xfId="3" applyFont="1" applyFill="1" applyBorder="1"/>
    <xf numFmtId="165" fontId="12" fillId="2" borderId="15" xfId="3" applyNumberFormat="1" applyFont="1" applyFill="1" applyBorder="1" applyAlignment="1">
      <alignment horizontal="center" wrapText="1"/>
    </xf>
    <xf numFmtId="165" fontId="12" fillId="2" borderId="10" xfId="3" applyNumberFormat="1" applyFont="1" applyFill="1" applyBorder="1" applyAlignment="1">
      <alignment wrapText="1"/>
    </xf>
    <xf numFmtId="166" fontId="12" fillId="2" borderId="16" xfId="1" applyNumberFormat="1" applyFont="1" applyFill="1" applyBorder="1" applyAlignment="1">
      <alignment horizontal="right" wrapText="1"/>
    </xf>
    <xf numFmtId="165" fontId="12" fillId="2" borderId="16" xfId="3" applyNumberFormat="1" applyFont="1" applyFill="1" applyBorder="1" applyAlignment="1">
      <alignment horizontal="right" wrapText="1"/>
    </xf>
    <xf numFmtId="165" fontId="12" fillId="2" borderId="17" xfId="3" applyNumberFormat="1" applyFont="1" applyFill="1" applyBorder="1" applyAlignment="1">
      <alignment wrapText="1"/>
    </xf>
    <xf numFmtId="165" fontId="12" fillId="2" borderId="18" xfId="3" applyNumberFormat="1" applyFont="1" applyFill="1" applyBorder="1" applyAlignment="1">
      <alignment wrapText="1"/>
    </xf>
    <xf numFmtId="165" fontId="12" fillId="2" borderId="19" xfId="3" applyNumberFormat="1" applyFont="1" applyFill="1" applyBorder="1" applyAlignment="1">
      <alignment horizontal="right" wrapText="1"/>
    </xf>
    <xf numFmtId="165" fontId="12" fillId="2" borderId="0" xfId="3" applyNumberFormat="1" applyFont="1" applyFill="1" applyAlignment="1">
      <alignment wrapText="1"/>
    </xf>
    <xf numFmtId="165" fontId="14" fillId="2" borderId="19" xfId="3" applyNumberFormat="1" applyFont="1" applyFill="1" applyBorder="1" applyAlignment="1">
      <alignment horizontal="right" wrapText="1"/>
    </xf>
    <xf numFmtId="165" fontId="7" fillId="2" borderId="0" xfId="0" applyNumberFormat="1" applyFont="1" applyFill="1"/>
    <xf numFmtId="4" fontId="12" fillId="2" borderId="19" xfId="3" applyNumberFormat="1" applyFont="1" applyFill="1" applyBorder="1" applyAlignment="1">
      <alignment horizontal="right" wrapText="1"/>
    </xf>
    <xf numFmtId="167" fontId="12" fillId="2" borderId="16" xfId="1" applyNumberFormat="1" applyFont="1" applyFill="1" applyBorder="1" applyAlignment="1">
      <alignment horizontal="right" wrapText="1"/>
    </xf>
    <xf numFmtId="0" fontId="11" fillId="2" borderId="21" xfId="3" applyFont="1" applyFill="1" applyBorder="1"/>
    <xf numFmtId="0" fontId="12" fillId="2" borderId="12" xfId="3" applyFont="1" applyFill="1" applyBorder="1" applyAlignment="1">
      <alignment horizontal="center"/>
    </xf>
    <xf numFmtId="165" fontId="11" fillId="2" borderId="22" xfId="3" applyNumberFormat="1" applyFont="1" applyFill="1" applyBorder="1" applyAlignment="1">
      <alignment horizontal="right" wrapText="1"/>
    </xf>
    <xf numFmtId="165" fontId="11" fillId="2" borderId="0" xfId="3" applyNumberFormat="1" applyFont="1" applyFill="1" applyAlignment="1">
      <alignment horizontal="right" wrapText="1"/>
    </xf>
    <xf numFmtId="0" fontId="12" fillId="2" borderId="23" xfId="3" applyFont="1" applyFill="1" applyBorder="1" applyAlignment="1">
      <alignment horizontal="center"/>
    </xf>
    <xf numFmtId="165" fontId="11" fillId="2" borderId="0" xfId="3" applyNumberFormat="1" applyFont="1" applyFill="1"/>
    <xf numFmtId="164" fontId="15" fillId="2" borderId="0" xfId="1" applyFont="1" applyFill="1"/>
    <xf numFmtId="165" fontId="11" fillId="2" borderId="10" xfId="3" applyNumberFormat="1" applyFont="1" applyFill="1" applyBorder="1" applyAlignment="1">
      <alignment horizontal="right" wrapText="1"/>
    </xf>
    <xf numFmtId="165" fontId="11" fillId="2" borderId="24" xfId="3" applyNumberFormat="1" applyFont="1" applyFill="1" applyBorder="1"/>
    <xf numFmtId="0" fontId="14" fillId="2" borderId="14" xfId="3" applyFont="1" applyFill="1" applyBorder="1"/>
    <xf numFmtId="165" fontId="14" fillId="2" borderId="10" xfId="3" applyNumberFormat="1" applyFont="1" applyFill="1" applyBorder="1" applyAlignment="1">
      <alignment wrapText="1"/>
    </xf>
    <xf numFmtId="165" fontId="12" fillId="2" borderId="25" xfId="3" applyNumberFormat="1" applyFont="1" applyFill="1" applyBorder="1" applyAlignment="1">
      <alignment horizontal="center" wrapText="1"/>
    </xf>
    <xf numFmtId="0" fontId="16" fillId="2" borderId="21" xfId="3" applyFont="1" applyFill="1" applyBorder="1"/>
    <xf numFmtId="0" fontId="12" fillId="2" borderId="6" xfId="3" applyFont="1" applyFill="1" applyBorder="1" applyAlignment="1">
      <alignment horizontal="center"/>
    </xf>
    <xf numFmtId="165" fontId="16" fillId="2" borderId="10" xfId="3" applyNumberFormat="1" applyFont="1" applyFill="1" applyBorder="1"/>
    <xf numFmtId="165" fontId="16" fillId="2" borderId="12" xfId="3" applyNumberFormat="1" applyFont="1" applyFill="1" applyBorder="1" applyAlignment="1">
      <alignment horizontal="right"/>
    </xf>
    <xf numFmtId="165" fontId="16" fillId="2" borderId="0" xfId="3" applyNumberFormat="1" applyFont="1" applyFill="1" applyAlignment="1">
      <alignment horizontal="right"/>
    </xf>
    <xf numFmtId="0" fontId="12" fillId="2" borderId="0" xfId="3" applyFont="1" applyFill="1" applyAlignment="1">
      <alignment horizontal="center"/>
    </xf>
    <xf numFmtId="165" fontId="12" fillId="2" borderId="0" xfId="3" applyNumberFormat="1" applyFont="1" applyFill="1"/>
    <xf numFmtId="165" fontId="12" fillId="2" borderId="26" xfId="3" applyNumberFormat="1" applyFont="1" applyFill="1" applyBorder="1" applyAlignment="1">
      <alignment horizontal="right" wrapText="1"/>
    </xf>
    <xf numFmtId="165" fontId="12" fillId="2" borderId="0" xfId="3" applyNumberFormat="1" applyFont="1" applyFill="1" applyAlignment="1">
      <alignment horizontal="right" wrapText="1"/>
    </xf>
    <xf numFmtId="166" fontId="7" fillId="2" borderId="0" xfId="0" applyNumberFormat="1" applyFont="1" applyFill="1"/>
    <xf numFmtId="164" fontId="7" fillId="2" borderId="0" xfId="1" applyFont="1" applyFill="1"/>
    <xf numFmtId="165" fontId="11" fillId="2" borderId="10" xfId="3" applyNumberFormat="1" applyFont="1" applyFill="1" applyBorder="1"/>
    <xf numFmtId="165" fontId="11" fillId="2" borderId="12" xfId="3" applyNumberFormat="1" applyFont="1" applyFill="1" applyBorder="1" applyAlignment="1">
      <alignment horizontal="right"/>
    </xf>
    <xf numFmtId="165" fontId="11" fillId="2" borderId="0" xfId="3" applyNumberFormat="1" applyFont="1" applyFill="1" applyAlignment="1">
      <alignment horizontal="right"/>
    </xf>
    <xf numFmtId="0" fontId="12" fillId="2" borderId="13" xfId="3" applyFont="1" applyFill="1" applyBorder="1" applyAlignment="1">
      <alignment horizontal="center"/>
    </xf>
    <xf numFmtId="165" fontId="12" fillId="2" borderId="13" xfId="3" applyNumberFormat="1" applyFont="1" applyFill="1" applyBorder="1"/>
    <xf numFmtId="165" fontId="12" fillId="2" borderId="13" xfId="3" applyNumberFormat="1" applyFont="1" applyFill="1" applyBorder="1" applyAlignment="1">
      <alignment horizontal="right"/>
    </xf>
    <xf numFmtId="165" fontId="12" fillId="2" borderId="0" xfId="3" applyNumberFormat="1" applyFont="1" applyFill="1" applyAlignment="1">
      <alignment horizontal="right"/>
    </xf>
    <xf numFmtId="0" fontId="12" fillId="2" borderId="27" xfId="3" applyFont="1" applyFill="1" applyBorder="1"/>
    <xf numFmtId="0" fontId="12" fillId="2" borderId="28" xfId="3" applyFont="1" applyFill="1" applyBorder="1" applyAlignment="1">
      <alignment horizontal="center"/>
    </xf>
    <xf numFmtId="0" fontId="12" fillId="2" borderId="8" xfId="3" applyFont="1" applyFill="1" applyBorder="1" applyAlignment="1">
      <alignment horizontal="center"/>
    </xf>
    <xf numFmtId="165" fontId="12" fillId="2" borderId="24" xfId="3" applyNumberFormat="1" applyFont="1" applyFill="1" applyBorder="1" applyAlignment="1">
      <alignment horizontal="right" wrapText="1"/>
    </xf>
    <xf numFmtId="165" fontId="12" fillId="2" borderId="29" xfId="3" applyNumberFormat="1" applyFont="1" applyFill="1" applyBorder="1" applyAlignment="1">
      <alignment horizontal="right" wrapText="1"/>
    </xf>
    <xf numFmtId="165" fontId="12" fillId="2" borderId="20" xfId="3" applyNumberFormat="1" applyFont="1" applyFill="1" applyBorder="1" applyAlignment="1">
      <alignment horizontal="center" wrapText="1"/>
    </xf>
    <xf numFmtId="0" fontId="12" fillId="2" borderId="30" xfId="3" applyFont="1" applyFill="1" applyBorder="1"/>
    <xf numFmtId="165" fontId="12" fillId="2" borderId="28" xfId="3" applyNumberFormat="1" applyFont="1" applyFill="1" applyBorder="1" applyAlignment="1">
      <alignment horizontal="center" wrapText="1"/>
    </xf>
    <xf numFmtId="165" fontId="11" fillId="2" borderId="22" xfId="3" applyNumberFormat="1" applyFont="1" applyFill="1" applyBorder="1"/>
    <xf numFmtId="0" fontId="17" fillId="2" borderId="22" xfId="3" applyFont="1" applyFill="1" applyBorder="1" applyAlignment="1">
      <alignment vertical="center"/>
    </xf>
    <xf numFmtId="0" fontId="14" fillId="2" borderId="31" xfId="3" applyFont="1" applyFill="1" applyBorder="1" applyAlignment="1">
      <alignment horizontal="center" vertical="center"/>
    </xf>
    <xf numFmtId="165" fontId="16" fillId="2" borderId="31" xfId="3" applyNumberFormat="1" applyFont="1" applyFill="1" applyBorder="1"/>
    <xf numFmtId="165" fontId="16" fillId="2" borderId="22" xfId="3" applyNumberFormat="1" applyFont="1" applyFill="1" applyBorder="1" applyAlignment="1">
      <alignment vertical="center"/>
    </xf>
    <xf numFmtId="0" fontId="12" fillId="2" borderId="0" xfId="3" applyFont="1" applyFill="1" applyAlignment="1">
      <alignment vertical="center" wrapText="1"/>
    </xf>
    <xf numFmtId="165" fontId="12" fillId="2" borderId="0" xfId="3" applyNumberFormat="1" applyFont="1" applyFill="1" applyAlignment="1">
      <alignment vertical="center" wrapText="1"/>
    </xf>
    <xf numFmtId="164" fontId="12" fillId="2" borderId="0" xfId="3" applyNumberFormat="1" applyFont="1" applyFill="1" applyAlignment="1">
      <alignment vertical="center" wrapText="1"/>
    </xf>
    <xf numFmtId="9" fontId="7" fillId="2" borderId="0" xfId="2" applyFont="1" applyFill="1"/>
    <xf numFmtId="0" fontId="11" fillId="3" borderId="36" xfId="0" applyFont="1" applyFill="1" applyBorder="1" applyAlignment="1">
      <alignment horizontal="center" vertical="center" wrapText="1"/>
    </xf>
    <xf numFmtId="0" fontId="11" fillId="3" borderId="37" xfId="0" applyFont="1" applyFill="1" applyBorder="1" applyAlignment="1">
      <alignment horizontal="center" vertical="center" wrapText="1"/>
    </xf>
    <xf numFmtId="0" fontId="3" fillId="2" borderId="4" xfId="3" applyFont="1" applyFill="1" applyBorder="1" applyAlignment="1">
      <alignment horizontal="center" vertical="center" wrapText="1"/>
    </xf>
    <xf numFmtId="0" fontId="3" fillId="2" borderId="22" xfId="3" applyFont="1" applyFill="1" applyBorder="1" applyAlignment="1">
      <alignment horizontal="center" vertical="center" wrapText="1"/>
    </xf>
    <xf numFmtId="0" fontId="3" fillId="2" borderId="4" xfId="3" applyFont="1" applyFill="1" applyBorder="1" applyAlignment="1">
      <alignment horizontal="center" vertical="top" wrapText="1"/>
    </xf>
    <xf numFmtId="0" fontId="3" fillId="2" borderId="5" xfId="3" applyFont="1" applyFill="1" applyBorder="1" applyAlignment="1">
      <alignment horizontal="center" vertical="top" wrapText="1"/>
    </xf>
    <xf numFmtId="0" fontId="3" fillId="2" borderId="6" xfId="3" applyFont="1" applyFill="1" applyBorder="1" applyAlignment="1">
      <alignment horizontal="center" vertical="top" wrapText="1"/>
    </xf>
    <xf numFmtId="0" fontId="12" fillId="2" borderId="0" xfId="3" applyFont="1" applyFill="1" applyAlignment="1">
      <alignment horizontal="left" vertical="center"/>
    </xf>
    <xf numFmtId="0" fontId="12" fillId="2" borderId="0" xfId="3" applyFont="1" applyFill="1" applyAlignment="1">
      <alignment horizontal="left" vertical="center" wrapText="1"/>
    </xf>
    <xf numFmtId="0" fontId="3" fillId="2" borderId="5" xfId="3" applyFont="1" applyFill="1" applyBorder="1" applyAlignment="1">
      <alignment horizontal="center" vertical="center" wrapText="1"/>
    </xf>
    <xf numFmtId="0" fontId="3" fillId="2" borderId="6" xfId="3" applyFont="1" applyFill="1" applyBorder="1" applyAlignment="1">
      <alignment horizontal="center" vertical="center" wrapText="1"/>
    </xf>
    <xf numFmtId="0" fontId="14" fillId="2" borderId="0" xfId="3" applyFont="1" applyFill="1" applyAlignment="1">
      <alignment horizontal="left" vertical="center" wrapText="1"/>
    </xf>
    <xf numFmtId="0" fontId="5" fillId="2" borderId="0" xfId="3" applyFont="1" applyFill="1" applyAlignment="1">
      <alignment horizontal="left" wrapText="1"/>
    </xf>
    <xf numFmtId="0" fontId="19" fillId="0" borderId="0" xfId="3" applyFont="1" applyFill="1" applyAlignment="1">
      <alignment horizontal="center" vertical="top" wrapText="1"/>
    </xf>
    <xf numFmtId="0" fontId="11" fillId="0" borderId="10" xfId="3" applyFont="1" applyFill="1" applyBorder="1" applyAlignment="1">
      <alignment vertical="center"/>
    </xf>
    <xf numFmtId="0" fontId="11" fillId="0" borderId="2" xfId="3" applyFont="1" applyFill="1" applyBorder="1" applyAlignment="1">
      <alignment horizontal="center" vertical="center" wrapText="1"/>
    </xf>
    <xf numFmtId="0" fontId="11" fillId="0" borderId="32" xfId="3" applyFont="1" applyFill="1" applyBorder="1" applyAlignment="1">
      <alignment horizontal="center" vertical="center" wrapText="1"/>
    </xf>
    <xf numFmtId="0" fontId="11" fillId="0" borderId="13" xfId="3" applyFont="1" applyFill="1" applyBorder="1" applyAlignment="1">
      <alignment horizontal="center" vertical="center" wrapText="1"/>
    </xf>
    <xf numFmtId="0" fontId="0" fillId="0" borderId="0" xfId="0" applyFill="1"/>
    <xf numFmtId="0" fontId="19" fillId="0" borderId="0" xfId="3" applyFont="1" applyFill="1" applyAlignment="1">
      <alignment horizontal="center" vertical="center" wrapText="1"/>
    </xf>
    <xf numFmtId="0" fontId="11" fillId="0" borderId="33" xfId="3" applyFont="1" applyFill="1" applyBorder="1" applyAlignment="1">
      <alignment vertical="center"/>
    </xf>
    <xf numFmtId="0" fontId="11" fillId="0" borderId="2" xfId="3" applyFont="1" applyFill="1" applyBorder="1" applyAlignment="1">
      <alignment horizontal="left" vertical="center"/>
    </xf>
    <xf numFmtId="0" fontId="11" fillId="0" borderId="32" xfId="3" applyFont="1" applyFill="1" applyBorder="1" applyAlignment="1">
      <alignment horizontal="left" vertical="center"/>
    </xf>
    <xf numFmtId="0" fontId="11" fillId="0" borderId="13" xfId="3" applyFont="1" applyFill="1" applyBorder="1" applyAlignment="1">
      <alignment horizontal="left" vertical="center"/>
    </xf>
    <xf numFmtId="0" fontId="2" fillId="0" borderId="0" xfId="3" applyFill="1" applyAlignment="1">
      <alignment horizontal="center" wrapText="1"/>
    </xf>
    <xf numFmtId="3" fontId="12" fillId="0" borderId="33" xfId="3" applyNumberFormat="1" applyFont="1" applyFill="1" applyBorder="1" applyAlignment="1">
      <alignment vertical="center"/>
    </xf>
    <xf numFmtId="165" fontId="12" fillId="0" borderId="34" xfId="3" applyNumberFormat="1" applyFont="1" applyFill="1" applyBorder="1" applyAlignment="1">
      <alignment horizontal="center" vertical="center"/>
    </xf>
    <xf numFmtId="3" fontId="12" fillId="0" borderId="33" xfId="3" applyNumberFormat="1" applyFont="1" applyFill="1" applyBorder="1" applyAlignment="1">
      <alignment horizontal="center" vertical="center"/>
    </xf>
    <xf numFmtId="1" fontId="0" fillId="0" borderId="0" xfId="0" applyNumberFormat="1" applyFill="1"/>
    <xf numFmtId="3" fontId="11" fillId="0" borderId="33" xfId="3" applyNumberFormat="1" applyFont="1" applyFill="1" applyBorder="1" applyAlignment="1">
      <alignment vertical="center"/>
    </xf>
    <xf numFmtId="0" fontId="21" fillId="0" borderId="0" xfId="3" applyFont="1" applyFill="1" applyAlignment="1">
      <alignment horizontal="center" wrapText="1"/>
    </xf>
    <xf numFmtId="0" fontId="2" fillId="0" borderId="0" xfId="3" applyFill="1" applyAlignment="1">
      <alignment wrapText="1"/>
    </xf>
    <xf numFmtId="165" fontId="11" fillId="0" borderId="34" xfId="3" applyNumberFormat="1" applyFont="1" applyFill="1" applyBorder="1" applyAlignment="1">
      <alignment horizontal="center" vertical="center"/>
    </xf>
    <xf numFmtId="3" fontId="11" fillId="0" borderId="33" xfId="3" applyNumberFormat="1" applyFont="1" applyFill="1" applyBorder="1" applyAlignment="1">
      <alignment horizontal="center" vertical="center"/>
    </xf>
    <xf numFmtId="0" fontId="12" fillId="0" borderId="27" xfId="3" applyFont="1" applyFill="1" applyBorder="1"/>
    <xf numFmtId="3" fontId="12" fillId="0" borderId="0" xfId="3" applyNumberFormat="1" applyFont="1" applyFill="1" applyAlignment="1">
      <alignment vertical="center"/>
    </xf>
    <xf numFmtId="165" fontId="12" fillId="0" borderId="0" xfId="3" applyNumberFormat="1" applyFont="1" applyFill="1" applyAlignment="1">
      <alignment horizontal="center" vertical="center"/>
    </xf>
    <xf numFmtId="3" fontId="12" fillId="0" borderId="0" xfId="3" applyNumberFormat="1" applyFont="1" applyFill="1" applyAlignment="1">
      <alignment horizontal="center" vertical="center"/>
    </xf>
    <xf numFmtId="0" fontId="24" fillId="0" borderId="0" xfId="0" applyFont="1" applyFill="1" applyAlignment="1">
      <alignment horizontal="justify" vertical="center"/>
    </xf>
    <xf numFmtId="165" fontId="2" fillId="0" borderId="0" xfId="3" applyNumberFormat="1" applyFill="1" applyAlignment="1">
      <alignment horizontal="center" vertical="center"/>
    </xf>
    <xf numFmtId="165" fontId="2" fillId="0" borderId="0" xfId="3" applyNumberFormat="1" applyFill="1" applyAlignment="1">
      <alignment vertical="center"/>
    </xf>
    <xf numFmtId="3" fontId="2" fillId="0" borderId="0" xfId="3" applyNumberFormat="1" applyFill="1" applyAlignment="1">
      <alignment horizontal="center" vertical="center"/>
    </xf>
    <xf numFmtId="0" fontId="19" fillId="0" borderId="0" xfId="3" applyFont="1" applyFill="1" applyAlignment="1">
      <alignment vertical="center"/>
    </xf>
    <xf numFmtId="0" fontId="12" fillId="0" borderId="0" xfId="0" applyFont="1" applyFill="1" applyAlignment="1">
      <alignment horizontal="left" wrapText="1"/>
    </xf>
    <xf numFmtId="0" fontId="14" fillId="0" borderId="0" xfId="0" applyFont="1" applyFill="1" applyAlignment="1">
      <alignment wrapText="1"/>
    </xf>
    <xf numFmtId="0" fontId="14" fillId="0" borderId="0" xfId="0" applyFont="1" applyFill="1" applyAlignment="1">
      <alignment horizontal="left" wrapText="1"/>
    </xf>
    <xf numFmtId="0" fontId="20" fillId="0" borderId="0" xfId="0" applyFont="1" applyFill="1"/>
    <xf numFmtId="0" fontId="20" fillId="0" borderId="0" xfId="0" applyFont="1" applyFill="1" applyAlignment="1">
      <alignment horizontal="center"/>
    </xf>
    <xf numFmtId="0" fontId="2" fillId="0" borderId="0" xfId="0" applyFont="1" applyFill="1"/>
    <xf numFmtId="0" fontId="20" fillId="0" borderId="0" xfId="3" applyFont="1" applyFill="1" applyAlignment="1">
      <alignment horizontal="center"/>
    </xf>
    <xf numFmtId="0" fontId="0" fillId="0" borderId="0" xfId="0" applyFill="1" applyAlignment="1">
      <alignment horizontal="center"/>
    </xf>
    <xf numFmtId="0" fontId="22" fillId="0" borderId="0" xfId="0" applyFont="1" applyFill="1"/>
    <xf numFmtId="0" fontId="19" fillId="0" borderId="0" xfId="3" applyFont="1" applyFill="1" applyAlignment="1">
      <alignment horizontal="center"/>
    </xf>
    <xf numFmtId="0" fontId="23" fillId="0" borderId="0" xfId="3" applyFont="1" applyFill="1" applyAlignment="1">
      <alignment horizontal="center"/>
    </xf>
    <xf numFmtId="0" fontId="2" fillId="0" borderId="0" xfId="3" applyFill="1"/>
    <xf numFmtId="0" fontId="11" fillId="0" borderId="22" xfId="0" applyFont="1" applyFill="1" applyBorder="1" applyAlignment="1">
      <alignment horizontal="center" vertical="center" wrapText="1"/>
    </xf>
    <xf numFmtId="0" fontId="11" fillId="0" borderId="35" xfId="0" applyFont="1" applyFill="1" applyBorder="1" applyAlignment="1">
      <alignment horizontal="center" vertical="center" wrapText="1"/>
    </xf>
    <xf numFmtId="0" fontId="11" fillId="0" borderId="0" xfId="0" applyFont="1" applyFill="1" applyAlignment="1">
      <alignment horizontal="center" vertical="center" wrapText="1"/>
    </xf>
    <xf numFmtId="0" fontId="18" fillId="0" borderId="0" xfId="3" applyFont="1" applyFill="1" applyAlignment="1">
      <alignment horizontal="left"/>
    </xf>
    <xf numFmtId="0" fontId="2" fillId="0" borderId="0" xfId="3" applyFill="1" applyAlignment="1">
      <alignment horizontal="centerContinuous"/>
    </xf>
    <xf numFmtId="0" fontId="19" fillId="0" borderId="0" xfId="3" applyFont="1" applyFill="1" applyAlignment="1">
      <alignment horizontal="left"/>
    </xf>
    <xf numFmtId="2" fontId="2" fillId="0" borderId="0" xfId="3" applyNumberFormat="1" applyFill="1"/>
    <xf numFmtId="175" fontId="7" fillId="2" borderId="0" xfId="1" applyNumberFormat="1" applyFont="1" applyFill="1"/>
    <xf numFmtId="0" fontId="11" fillId="0" borderId="4" xfId="3" applyFont="1" applyFill="1" applyBorder="1" applyAlignment="1">
      <alignment vertical="center"/>
    </xf>
    <xf numFmtId="0" fontId="11" fillId="0" borderId="5" xfId="3" applyFont="1" applyFill="1" applyBorder="1" applyAlignment="1">
      <alignment vertical="center"/>
    </xf>
    <xf numFmtId="0" fontId="11" fillId="0" borderId="6" xfId="3" applyFont="1" applyFill="1" applyBorder="1" applyAlignment="1">
      <alignment vertical="center"/>
    </xf>
    <xf numFmtId="0" fontId="11" fillId="0" borderId="32" xfId="3" applyFont="1" applyFill="1" applyBorder="1" applyAlignment="1">
      <alignment vertical="center"/>
    </xf>
    <xf numFmtId="0" fontId="11" fillId="0" borderId="7" xfId="3" applyFont="1" applyFill="1" applyBorder="1" applyAlignment="1">
      <alignment vertical="center"/>
    </xf>
  </cellXfs>
  <cellStyles count="4">
    <cellStyle name="Comma" xfId="1" builtinId="3"/>
    <cellStyle name="Normal" xfId="0" builtinId="0"/>
    <cellStyle name="Normal 4" xfId="3" xr:uid="{E0CD1200-45A0-4FD1-9BAA-D1276C696214}"/>
    <cellStyle name="Percent" xfId="2" builtinId="5"/>
  </cellStyles>
  <dxfs count="43">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355D-D425-4672-87A6-2D0D51A769C4}">
  <sheetPr>
    <pageSetUpPr fitToPage="1"/>
  </sheetPr>
  <dimension ref="A1:AB115"/>
  <sheetViews>
    <sheetView zoomScale="71" zoomScaleNormal="96" workbookViewId="0">
      <selection activeCell="A11" sqref="A11"/>
    </sheetView>
  </sheetViews>
  <sheetFormatPr defaultColWidth="9.109375" defaultRowHeight="13.8" x14ac:dyDescent="0.25"/>
  <cols>
    <col min="1" max="1" width="45.109375" style="6" customWidth="1"/>
    <col min="2" max="2" width="9.109375" style="6"/>
    <col min="3" max="3" width="4.5546875" style="6" customWidth="1"/>
    <col min="4" max="7" width="9.109375" style="6"/>
    <col min="8" max="8" width="2.33203125" style="6" customWidth="1"/>
    <col min="9" max="12" width="9.109375" style="6"/>
    <col min="13" max="13" width="3.88671875" style="6" customWidth="1"/>
    <col min="14" max="14" width="9.109375" style="6"/>
    <col min="15" max="15" width="8.5546875" style="6" customWidth="1"/>
    <col min="16" max="16" width="7.5546875" style="6" customWidth="1"/>
    <col min="17" max="17" width="9.44140625" style="6" customWidth="1"/>
    <col min="18" max="18" width="3.6640625" style="6" customWidth="1"/>
    <col min="19" max="19" width="9.109375" style="6"/>
    <col min="20" max="20" width="8.5546875" style="6" customWidth="1"/>
    <col min="21" max="21" width="6.44140625" style="6" customWidth="1"/>
    <col min="22" max="22" width="9.109375" style="6"/>
    <col min="23" max="23" width="3.44140625" style="6" customWidth="1"/>
    <col min="24" max="24" width="8.5546875" style="6" customWidth="1"/>
    <col min="25" max="25" width="9.5546875" style="6" customWidth="1"/>
    <col min="26" max="26" width="8" style="6" customWidth="1"/>
    <col min="27" max="27" width="9.5546875" style="6" customWidth="1"/>
    <col min="28" max="28" width="18.109375" style="6" customWidth="1"/>
    <col min="29" max="16384" width="9.109375" style="6"/>
  </cols>
  <sheetData>
    <row r="1" spans="1:28" ht="19.5" customHeight="1" x14ac:dyDescent="0.3">
      <c r="A1" s="1" t="s">
        <v>214</v>
      </c>
      <c r="B1" s="2"/>
      <c r="C1" s="3"/>
      <c r="D1" s="100"/>
      <c r="E1" s="100"/>
      <c r="F1" s="100"/>
      <c r="G1" s="100"/>
      <c r="H1" s="100"/>
      <c r="I1" s="100"/>
      <c r="J1" s="100"/>
      <c r="K1" s="100"/>
      <c r="L1" s="100"/>
      <c r="M1" s="100"/>
      <c r="N1" s="100"/>
      <c r="O1" s="100"/>
      <c r="P1" s="100"/>
      <c r="Q1" s="100"/>
      <c r="R1" s="100"/>
      <c r="S1" s="100"/>
      <c r="T1" s="100"/>
      <c r="U1" s="100"/>
      <c r="V1" s="100"/>
    </row>
    <row r="2" spans="1:28" ht="15.6" x14ac:dyDescent="0.3">
      <c r="A2" s="7" t="s">
        <v>0</v>
      </c>
      <c r="B2" s="8"/>
      <c r="C2" s="3"/>
      <c r="D2" s="4"/>
      <c r="E2" s="4"/>
      <c r="F2" s="5"/>
      <c r="G2" s="5"/>
      <c r="V2" s="38"/>
    </row>
    <row r="3" spans="1:28" ht="15.6" x14ac:dyDescent="0.3">
      <c r="A3" s="3"/>
      <c r="B3" s="8"/>
      <c r="C3" s="9"/>
      <c r="D3" s="9"/>
      <c r="E3" s="9"/>
      <c r="F3" s="9"/>
      <c r="G3" s="9"/>
    </row>
    <row r="4" spans="1:28" ht="15.6" x14ac:dyDescent="0.25">
      <c r="A4" s="10"/>
      <c r="B4" s="11"/>
      <c r="C4" s="12"/>
      <c r="D4" s="90" t="s">
        <v>1</v>
      </c>
      <c r="E4" s="90"/>
      <c r="F4" s="90"/>
      <c r="G4" s="91"/>
      <c r="I4" s="90" t="s">
        <v>1</v>
      </c>
      <c r="J4" s="97"/>
      <c r="K4" s="97"/>
      <c r="L4" s="98"/>
      <c r="M4" s="13"/>
      <c r="N4" s="90" t="s">
        <v>2</v>
      </c>
      <c r="O4" s="97"/>
      <c r="P4" s="97"/>
      <c r="Q4" s="98"/>
      <c r="S4" s="90" t="s">
        <v>1</v>
      </c>
      <c r="T4" s="97"/>
      <c r="U4" s="97"/>
      <c r="V4" s="98"/>
      <c r="X4" s="90" t="s">
        <v>1</v>
      </c>
      <c r="Y4" s="90"/>
      <c r="Z4" s="90"/>
      <c r="AA4" s="91"/>
    </row>
    <row r="5" spans="1:28" ht="66" customHeight="1" x14ac:dyDescent="0.25">
      <c r="A5" s="14" t="s">
        <v>3</v>
      </c>
      <c r="B5" s="15"/>
      <c r="C5" s="16"/>
      <c r="D5" s="92" t="s">
        <v>101</v>
      </c>
      <c r="E5" s="93"/>
      <c r="F5" s="93"/>
      <c r="G5" s="94"/>
      <c r="I5" s="92" t="s">
        <v>102</v>
      </c>
      <c r="J5" s="93"/>
      <c r="K5" s="93"/>
      <c r="L5" s="94"/>
      <c r="N5" s="92" t="s">
        <v>106</v>
      </c>
      <c r="O5" s="93"/>
      <c r="P5" s="93"/>
      <c r="Q5" s="94"/>
      <c r="S5" s="92" t="s">
        <v>4</v>
      </c>
      <c r="T5" s="93"/>
      <c r="U5" s="93"/>
      <c r="V5" s="94"/>
      <c r="X5" s="92" t="s">
        <v>107</v>
      </c>
      <c r="Y5" s="93"/>
      <c r="Z5" s="93"/>
      <c r="AA5" s="94"/>
    </row>
    <row r="6" spans="1:28" ht="42" x14ac:dyDescent="0.25">
      <c r="A6" s="17" t="s">
        <v>5</v>
      </c>
      <c r="B6" s="18"/>
      <c r="C6" s="19"/>
      <c r="D6" s="20" t="s">
        <v>6</v>
      </c>
      <c r="E6" s="21" t="s">
        <v>7</v>
      </c>
      <c r="F6" s="20" t="s">
        <v>109</v>
      </c>
      <c r="G6" s="22" t="s">
        <v>8</v>
      </c>
      <c r="I6" s="23" t="s">
        <v>6</v>
      </c>
      <c r="J6" s="21" t="s">
        <v>7</v>
      </c>
      <c r="K6" s="20" t="s">
        <v>109</v>
      </c>
      <c r="L6" s="22" t="s">
        <v>8</v>
      </c>
      <c r="M6" s="24"/>
      <c r="N6" s="23" t="s">
        <v>6</v>
      </c>
      <c r="O6" s="21" t="s">
        <v>7</v>
      </c>
      <c r="P6" s="20" t="s">
        <v>109</v>
      </c>
      <c r="Q6" s="22" t="s">
        <v>8</v>
      </c>
      <c r="S6" s="23" t="s">
        <v>6</v>
      </c>
      <c r="T6" s="21" t="s">
        <v>7</v>
      </c>
      <c r="U6" s="20" t="s">
        <v>109</v>
      </c>
      <c r="V6" s="22" t="s">
        <v>8</v>
      </c>
      <c r="X6" s="23" t="s">
        <v>6</v>
      </c>
      <c r="Y6" s="21" t="s">
        <v>7</v>
      </c>
      <c r="Z6" s="20" t="s">
        <v>109</v>
      </c>
      <c r="AA6" s="22" t="s">
        <v>8</v>
      </c>
    </row>
    <row r="7" spans="1:28" ht="17.399999999999999" x14ac:dyDescent="0.3">
      <c r="A7" s="25" t="s">
        <v>9</v>
      </c>
      <c r="B7" s="26"/>
      <c r="C7" s="27"/>
      <c r="D7" s="26"/>
      <c r="E7" s="26"/>
      <c r="F7" s="26"/>
      <c r="G7" s="26"/>
      <c r="N7" s="26"/>
      <c r="O7" s="26"/>
      <c r="P7" s="26"/>
      <c r="Q7" s="26"/>
      <c r="S7" s="26"/>
      <c r="T7" s="26"/>
      <c r="U7" s="26"/>
      <c r="V7" s="26"/>
      <c r="X7" s="26"/>
      <c r="Y7" s="26"/>
      <c r="Z7" s="26"/>
      <c r="AA7" s="26"/>
    </row>
    <row r="8" spans="1:28" x14ac:dyDescent="0.25">
      <c r="A8" s="28" t="s">
        <v>10</v>
      </c>
      <c r="B8" s="29" t="s">
        <v>26</v>
      </c>
      <c r="C8" s="30"/>
      <c r="D8" s="31">
        <v>183.14803373453134</v>
      </c>
      <c r="E8" s="32" t="s">
        <v>12</v>
      </c>
      <c r="F8" s="33">
        <v>0</v>
      </c>
      <c r="G8" s="34">
        <v>183.14803373453134</v>
      </c>
      <c r="H8" s="63"/>
      <c r="I8" s="35">
        <v>0</v>
      </c>
      <c r="J8" s="35">
        <v>0</v>
      </c>
      <c r="K8" s="35">
        <v>0</v>
      </c>
      <c r="L8" s="34">
        <v>0</v>
      </c>
      <c r="M8" s="36"/>
      <c r="N8" s="37">
        <v>-6.737049845437765</v>
      </c>
      <c r="O8" s="37">
        <v>0</v>
      </c>
      <c r="P8" s="37">
        <v>0</v>
      </c>
      <c r="Q8" s="37">
        <v>-6.737049845437765</v>
      </c>
      <c r="S8" s="35">
        <v>81.202780002007344</v>
      </c>
      <c r="T8" s="35">
        <v>0</v>
      </c>
      <c r="U8" s="35">
        <v>0</v>
      </c>
      <c r="V8" s="34">
        <v>81.202780002007344</v>
      </c>
      <c r="X8" s="31">
        <v>257.61376389110092</v>
      </c>
      <c r="Y8" s="31">
        <v>0</v>
      </c>
      <c r="Z8" s="31">
        <v>0</v>
      </c>
      <c r="AA8" s="31">
        <v>257.61376389110092</v>
      </c>
      <c r="AB8" s="62">
        <f>AA8/G8*100-100</f>
        <v>40.658765829015607</v>
      </c>
    </row>
    <row r="9" spans="1:28" x14ac:dyDescent="0.25">
      <c r="A9" s="28" t="s">
        <v>13</v>
      </c>
      <c r="B9" s="29"/>
      <c r="C9" s="30"/>
      <c r="D9" s="31">
        <v>18.149144709758794</v>
      </c>
      <c r="E9" s="32" t="s">
        <v>12</v>
      </c>
      <c r="F9" s="33">
        <v>0</v>
      </c>
      <c r="G9" s="34">
        <v>18.149144709758794</v>
      </c>
      <c r="H9" s="63"/>
      <c r="I9" s="35">
        <v>0</v>
      </c>
      <c r="J9" s="35">
        <v>0</v>
      </c>
      <c r="K9" s="35">
        <v>0</v>
      </c>
      <c r="L9" s="34">
        <v>0</v>
      </c>
      <c r="M9" s="36"/>
      <c r="N9" s="35">
        <v>-14.231026230809048</v>
      </c>
      <c r="O9" s="35">
        <v>0</v>
      </c>
      <c r="P9" s="35">
        <v>0</v>
      </c>
      <c r="Q9" s="34">
        <v>-14.231026230809048</v>
      </c>
      <c r="S9" s="35">
        <v>0</v>
      </c>
      <c r="T9" s="35">
        <v>0</v>
      </c>
      <c r="U9" s="35">
        <v>0</v>
      </c>
      <c r="V9" s="34">
        <v>0</v>
      </c>
      <c r="X9" s="31">
        <v>3.9181184789497454</v>
      </c>
      <c r="Y9" s="31">
        <v>0</v>
      </c>
      <c r="Z9" s="31">
        <v>0</v>
      </c>
      <c r="AA9" s="31">
        <v>3.9181184789497454</v>
      </c>
      <c r="AB9" s="62">
        <f t="shared" ref="AB9:AB72" si="0">AA9/G9*100-100</f>
        <v>-78.411553042260039</v>
      </c>
    </row>
    <row r="10" spans="1:28" x14ac:dyDescent="0.25">
      <c r="A10" s="28" t="s">
        <v>14</v>
      </c>
      <c r="B10" s="29"/>
      <c r="C10" s="30"/>
      <c r="D10" s="31">
        <v>0</v>
      </c>
      <c r="E10" s="32">
        <v>657.23988519434067</v>
      </c>
      <c r="F10" s="33">
        <v>75.173607569499069</v>
      </c>
      <c r="G10" s="34">
        <v>732.41349276383971</v>
      </c>
      <c r="H10" s="63"/>
      <c r="I10" s="35">
        <v>0</v>
      </c>
      <c r="J10" s="35">
        <v>0</v>
      </c>
      <c r="K10" s="35">
        <v>0</v>
      </c>
      <c r="L10" s="34">
        <v>0</v>
      </c>
      <c r="M10" s="36"/>
      <c r="N10" s="35">
        <v>0</v>
      </c>
      <c r="O10" s="35">
        <v>-307.61256510917099</v>
      </c>
      <c r="P10" s="35">
        <v>218.17170845495201</v>
      </c>
      <c r="Q10" s="34">
        <v>-89.440856654218976</v>
      </c>
      <c r="S10" s="35">
        <v>0</v>
      </c>
      <c r="T10" s="35">
        <v>-21.272352273110762</v>
      </c>
      <c r="U10" s="39">
        <v>-2.4330834112207342</v>
      </c>
      <c r="V10" s="34">
        <v>-23.705435684331498</v>
      </c>
      <c r="X10" s="31">
        <v>0</v>
      </c>
      <c r="Y10" s="31">
        <v>328.35496781205893</v>
      </c>
      <c r="Z10" s="31">
        <v>290.9122326132304</v>
      </c>
      <c r="AA10" s="31">
        <v>619.26720042528916</v>
      </c>
      <c r="AB10" s="62">
        <f t="shared" si="0"/>
        <v>-15.448417247418675</v>
      </c>
    </row>
    <row r="11" spans="1:28" x14ac:dyDescent="0.25">
      <c r="A11" s="28" t="s">
        <v>15</v>
      </c>
      <c r="B11" s="29" t="s">
        <v>105</v>
      </c>
      <c r="C11" s="30"/>
      <c r="D11" s="31">
        <v>0</v>
      </c>
      <c r="E11" s="32" t="s">
        <v>12</v>
      </c>
      <c r="F11" s="33">
        <v>0</v>
      </c>
      <c r="G11" s="34">
        <v>0</v>
      </c>
      <c r="H11" s="63"/>
      <c r="I11" s="35">
        <v>0</v>
      </c>
      <c r="J11" s="35">
        <v>0</v>
      </c>
      <c r="K11" s="35">
        <v>0</v>
      </c>
      <c r="L11" s="34">
        <v>0</v>
      </c>
      <c r="M11" s="36"/>
      <c r="N11" s="35">
        <v>0</v>
      </c>
      <c r="O11" s="35">
        <v>0</v>
      </c>
      <c r="P11" s="35">
        <v>0</v>
      </c>
      <c r="Q11" s="34">
        <v>0</v>
      </c>
      <c r="S11" s="35">
        <v>0</v>
      </c>
      <c r="T11" s="35">
        <v>0</v>
      </c>
      <c r="U11" s="35">
        <v>0</v>
      </c>
      <c r="V11" s="34">
        <v>0</v>
      </c>
      <c r="X11" s="31">
        <v>0</v>
      </c>
      <c r="Y11" s="31">
        <v>0</v>
      </c>
      <c r="Z11" s="31">
        <v>0</v>
      </c>
      <c r="AA11" s="31">
        <v>0</v>
      </c>
      <c r="AB11" s="62" t="e">
        <f t="shared" si="0"/>
        <v>#DIV/0!</v>
      </c>
    </row>
    <row r="12" spans="1:28" x14ac:dyDescent="0.25">
      <c r="A12" s="28" t="s">
        <v>16</v>
      </c>
      <c r="B12" s="29" t="s">
        <v>17</v>
      </c>
      <c r="C12" s="30"/>
      <c r="D12" s="31" t="s">
        <v>12</v>
      </c>
      <c r="E12" s="32">
        <v>20.795187629544774</v>
      </c>
      <c r="F12" s="33">
        <v>0</v>
      </c>
      <c r="G12" s="34">
        <v>20.795187629544774</v>
      </c>
      <c r="H12" s="63"/>
      <c r="I12" s="35">
        <v>0</v>
      </c>
      <c r="J12" s="35">
        <v>0</v>
      </c>
      <c r="K12" s="35">
        <v>0</v>
      </c>
      <c r="L12" s="34">
        <v>0</v>
      </c>
      <c r="M12" s="36"/>
      <c r="N12" s="35">
        <v>0</v>
      </c>
      <c r="O12" s="35">
        <v>0</v>
      </c>
      <c r="P12" s="35">
        <v>0</v>
      </c>
      <c r="Q12" s="34">
        <v>0</v>
      </c>
      <c r="S12" s="35">
        <v>0</v>
      </c>
      <c r="T12" s="35">
        <v>10.402504929960951</v>
      </c>
      <c r="U12" s="35">
        <v>0</v>
      </c>
      <c r="V12" s="34">
        <v>10.402504929960951</v>
      </c>
      <c r="X12" s="31">
        <v>0</v>
      </c>
      <c r="Y12" s="31">
        <v>31.197692559505725</v>
      </c>
      <c r="Z12" s="31">
        <v>0</v>
      </c>
      <c r="AA12" s="31">
        <v>31.197692559505725</v>
      </c>
      <c r="AB12" s="62">
        <f t="shared" si="0"/>
        <v>50.023616594743231</v>
      </c>
    </row>
    <row r="13" spans="1:28" x14ac:dyDescent="0.25">
      <c r="A13" s="28" t="s">
        <v>18</v>
      </c>
      <c r="B13" s="29" t="s">
        <v>111</v>
      </c>
      <c r="C13" s="30"/>
      <c r="D13" s="31">
        <v>699.62360250185395</v>
      </c>
      <c r="E13" s="32">
        <v>469.68985507153513</v>
      </c>
      <c r="F13" s="33">
        <v>0</v>
      </c>
      <c r="G13" s="34">
        <v>1169.3134575733891</v>
      </c>
      <c r="H13" s="63"/>
      <c r="I13" s="35">
        <v>0</v>
      </c>
      <c r="J13" s="35">
        <v>0</v>
      </c>
      <c r="K13" s="35">
        <v>0</v>
      </c>
      <c r="L13" s="34">
        <v>0</v>
      </c>
      <c r="M13" s="36"/>
      <c r="N13" s="35">
        <v>10.454749503707767</v>
      </c>
      <c r="O13" s="35">
        <v>-15.400313617248298</v>
      </c>
      <c r="P13" s="35">
        <v>0</v>
      </c>
      <c r="Q13" s="34">
        <v>-4.9455641135404109</v>
      </c>
      <c r="S13" s="35">
        <v>31.620611626655656</v>
      </c>
      <c r="T13" s="35">
        <v>0</v>
      </c>
      <c r="U13" s="35">
        <v>0</v>
      </c>
      <c r="V13" s="34">
        <v>31.620611626655656</v>
      </c>
      <c r="X13" s="31">
        <v>741.69896363221733</v>
      </c>
      <c r="Y13" s="31">
        <v>454.28954145428685</v>
      </c>
      <c r="Z13" s="31">
        <v>0</v>
      </c>
      <c r="AA13" s="31">
        <v>1195.9885050865041</v>
      </c>
      <c r="AB13" s="62">
        <f t="shared" si="0"/>
        <v>2.2812572061277905</v>
      </c>
    </row>
    <row r="14" spans="1:28" x14ac:dyDescent="0.25">
      <c r="A14" s="28" t="s">
        <v>19</v>
      </c>
      <c r="B14" s="29"/>
      <c r="C14" s="30"/>
      <c r="D14" s="31" t="s">
        <v>12</v>
      </c>
      <c r="E14" s="32">
        <v>555.89734938724871</v>
      </c>
      <c r="F14" s="33">
        <v>143.58780365110184</v>
      </c>
      <c r="G14" s="34">
        <v>699.48515303835052</v>
      </c>
      <c r="H14" s="63"/>
      <c r="I14" s="35">
        <v>0</v>
      </c>
      <c r="J14" s="35">
        <v>0</v>
      </c>
      <c r="K14" s="35">
        <v>0</v>
      </c>
      <c r="L14" s="34">
        <v>0</v>
      </c>
      <c r="M14" s="36"/>
      <c r="N14" s="35">
        <v>0</v>
      </c>
      <c r="O14" s="35">
        <v>-432.55616785012234</v>
      </c>
      <c r="P14" s="35">
        <v>-116.58896779026509</v>
      </c>
      <c r="Q14" s="34">
        <v>-549.14513564038737</v>
      </c>
      <c r="S14" s="35">
        <v>0</v>
      </c>
      <c r="T14" s="35">
        <v>78.677635043842443</v>
      </c>
      <c r="U14" s="35">
        <v>20.322364956157557</v>
      </c>
      <c r="V14" s="34">
        <v>99</v>
      </c>
      <c r="X14" s="31">
        <v>0</v>
      </c>
      <c r="Y14" s="31">
        <v>202.0188165809688</v>
      </c>
      <c r="Z14" s="31">
        <v>47.321200816994306</v>
      </c>
      <c r="AA14" s="31">
        <v>249.34001739796315</v>
      </c>
      <c r="AB14" s="62">
        <f t="shared" si="0"/>
        <v>-64.353779874396764</v>
      </c>
    </row>
    <row r="15" spans="1:28" x14ac:dyDescent="0.25">
      <c r="A15" s="28" t="s">
        <v>20</v>
      </c>
      <c r="B15" s="29" t="s">
        <v>104</v>
      </c>
      <c r="C15" s="30"/>
      <c r="D15" s="31" t="s">
        <v>12</v>
      </c>
      <c r="E15" s="32">
        <v>26.312615580853048</v>
      </c>
      <c r="F15" s="33">
        <v>6.7965258041525667</v>
      </c>
      <c r="G15" s="34">
        <v>33.109141385005614</v>
      </c>
      <c r="H15" s="63"/>
      <c r="I15" s="35">
        <v>0</v>
      </c>
      <c r="J15" s="35">
        <v>0</v>
      </c>
      <c r="K15" s="35">
        <v>-3.3109141385005616</v>
      </c>
      <c r="L15" s="34">
        <v>-3.3109141385005616</v>
      </c>
      <c r="M15" s="36"/>
      <c r="N15" s="35">
        <v>0</v>
      </c>
      <c r="O15" s="35">
        <v>-8.913707637846306</v>
      </c>
      <c r="P15" s="35">
        <v>1.2821542432881705</v>
      </c>
      <c r="Q15" s="34">
        <v>-7.6315533945581313</v>
      </c>
      <c r="S15" s="35">
        <v>0</v>
      </c>
      <c r="T15" s="35">
        <v>0</v>
      </c>
      <c r="U15" s="35">
        <v>0</v>
      </c>
      <c r="V15" s="34">
        <v>0</v>
      </c>
      <c r="X15" s="31">
        <v>0</v>
      </c>
      <c r="Y15" s="31">
        <v>17.398907943006741</v>
      </c>
      <c r="Z15" s="31">
        <v>4.7677659089401754</v>
      </c>
      <c r="AA15" s="31">
        <v>22.166673851946921</v>
      </c>
      <c r="AB15" s="62">
        <f t="shared" si="0"/>
        <v>-33.049686809499363</v>
      </c>
    </row>
    <row r="16" spans="1:28" x14ac:dyDescent="0.25">
      <c r="A16" s="28" t="s">
        <v>21</v>
      </c>
      <c r="B16" s="29"/>
      <c r="C16" s="30"/>
      <c r="D16" s="31" t="s">
        <v>12</v>
      </c>
      <c r="E16" s="32">
        <v>227.50616463201868</v>
      </c>
      <c r="F16" s="33">
        <v>26.021639168523919</v>
      </c>
      <c r="G16" s="34">
        <v>253.52780380054259</v>
      </c>
      <c r="H16" s="63"/>
      <c r="I16" s="35">
        <v>0</v>
      </c>
      <c r="J16" s="35">
        <v>0</v>
      </c>
      <c r="K16" s="35">
        <v>0</v>
      </c>
      <c r="L16" s="34">
        <v>0</v>
      </c>
      <c r="M16" s="36"/>
      <c r="N16" s="35">
        <v>0</v>
      </c>
      <c r="O16" s="35">
        <v>-88.45610918147473</v>
      </c>
      <c r="P16" s="35">
        <v>59.288622077352358</v>
      </c>
      <c r="Q16" s="34">
        <v>-29.167487104122369</v>
      </c>
      <c r="S16" s="35">
        <v>0</v>
      </c>
      <c r="T16" s="35">
        <v>13.030070777888547</v>
      </c>
      <c r="U16" s="35">
        <v>1.4903499457738409</v>
      </c>
      <c r="V16" s="34">
        <v>14.520420723662388</v>
      </c>
      <c r="X16" s="31">
        <v>0</v>
      </c>
      <c r="Y16" s="31">
        <v>152.08012622843248</v>
      </c>
      <c r="Z16" s="31">
        <v>86.80061119165012</v>
      </c>
      <c r="AA16" s="31">
        <v>238.88073742008262</v>
      </c>
      <c r="AB16" s="62">
        <f t="shared" si="0"/>
        <v>-5.7773018031518291</v>
      </c>
    </row>
    <row r="17" spans="1:28" x14ac:dyDescent="0.25">
      <c r="A17" s="28" t="s">
        <v>22</v>
      </c>
      <c r="B17" s="29"/>
      <c r="C17" s="30"/>
      <c r="D17" s="31">
        <v>194.18355981849254</v>
      </c>
      <c r="E17" s="32" t="s">
        <v>12</v>
      </c>
      <c r="F17" s="33">
        <v>0</v>
      </c>
      <c r="G17" s="34">
        <v>194.18355981849254</v>
      </c>
      <c r="H17" s="63"/>
      <c r="I17" s="35">
        <v>0</v>
      </c>
      <c r="J17" s="35">
        <v>0</v>
      </c>
      <c r="K17" s="35">
        <v>0</v>
      </c>
      <c r="L17" s="34">
        <v>0</v>
      </c>
      <c r="M17" s="36"/>
      <c r="N17" s="35">
        <v>-179.20473391928655</v>
      </c>
      <c r="O17" s="35">
        <v>0</v>
      </c>
      <c r="P17" s="35">
        <v>0</v>
      </c>
      <c r="Q17" s="34">
        <v>-179.20473391928655</v>
      </c>
      <c r="S17" s="35">
        <v>239.40411533417114</v>
      </c>
      <c r="T17" s="35">
        <v>0</v>
      </c>
      <c r="U17" s="35">
        <v>0</v>
      </c>
      <c r="V17" s="34">
        <v>239.40411533417114</v>
      </c>
      <c r="X17" s="31">
        <v>254.38294123337712</v>
      </c>
      <c r="Y17" s="31">
        <v>0</v>
      </c>
      <c r="Z17" s="31">
        <v>0</v>
      </c>
      <c r="AA17" s="31">
        <v>254.38294123337712</v>
      </c>
      <c r="AB17" s="62">
        <f t="shared" si="0"/>
        <v>31.001276045796175</v>
      </c>
    </row>
    <row r="18" spans="1:28" x14ac:dyDescent="0.25">
      <c r="A18" s="28" t="s">
        <v>23</v>
      </c>
      <c r="B18" s="29" t="s">
        <v>26</v>
      </c>
      <c r="C18" s="30"/>
      <c r="D18" s="31">
        <v>456.64325013958052</v>
      </c>
      <c r="E18" s="32" t="s">
        <v>12</v>
      </c>
      <c r="F18" s="33">
        <v>0</v>
      </c>
      <c r="G18" s="34">
        <v>456.64325013958052</v>
      </c>
      <c r="H18" s="63"/>
      <c r="I18" s="35">
        <v>0</v>
      </c>
      <c r="J18" s="35">
        <v>0</v>
      </c>
      <c r="K18" s="35">
        <v>0</v>
      </c>
      <c r="L18" s="34">
        <v>0</v>
      </c>
      <c r="M18" s="36"/>
      <c r="N18" s="35">
        <v>-68.460515375505565</v>
      </c>
      <c r="O18" s="35">
        <v>-222.5</v>
      </c>
      <c r="P18" s="35">
        <v>0</v>
      </c>
      <c r="Q18" s="34">
        <v>-290.96051537550557</v>
      </c>
      <c r="S18" s="35">
        <v>111.60000000000001</v>
      </c>
      <c r="T18" s="35">
        <v>0</v>
      </c>
      <c r="U18" s="35">
        <v>0</v>
      </c>
      <c r="V18" s="34">
        <v>111.60000000000001</v>
      </c>
      <c r="X18" s="31">
        <v>499.78273476407497</v>
      </c>
      <c r="Y18" s="31">
        <v>-222.5</v>
      </c>
      <c r="Z18" s="31">
        <v>0</v>
      </c>
      <c r="AA18" s="31">
        <v>277.28273476407497</v>
      </c>
      <c r="AB18" s="62">
        <f t="shared" si="0"/>
        <v>-39.278039327348225</v>
      </c>
    </row>
    <row r="19" spans="1:28" x14ac:dyDescent="0.25">
      <c r="A19" s="28" t="s">
        <v>24</v>
      </c>
      <c r="B19" s="29"/>
      <c r="C19" s="30"/>
      <c r="D19" s="40" t="s">
        <v>12</v>
      </c>
      <c r="E19" s="32">
        <v>234.74258423263052</v>
      </c>
      <c r="F19" s="33">
        <v>26.849324431574829</v>
      </c>
      <c r="G19" s="34">
        <v>261.59190866420533</v>
      </c>
      <c r="H19" s="63"/>
      <c r="I19" s="35">
        <v>0</v>
      </c>
      <c r="J19" s="35">
        <v>0</v>
      </c>
      <c r="K19" s="35">
        <v>0</v>
      </c>
      <c r="L19" s="34">
        <v>0</v>
      </c>
      <c r="M19" s="36"/>
      <c r="N19" s="35">
        <v>0</v>
      </c>
      <c r="O19" s="35">
        <v>-125.65572567529637</v>
      </c>
      <c r="P19" s="35">
        <v>-15.888757576430901</v>
      </c>
      <c r="Q19" s="34">
        <v>-141.54448325172729</v>
      </c>
      <c r="S19" s="35">
        <v>0</v>
      </c>
      <c r="T19" s="35">
        <v>104.48002194345243</v>
      </c>
      <c r="U19" s="35">
        <v>11.950187968442203</v>
      </c>
      <c r="V19" s="34">
        <v>116.43020991189462</v>
      </c>
      <c r="X19" s="31">
        <v>0</v>
      </c>
      <c r="Y19" s="31">
        <v>213.56688050078657</v>
      </c>
      <c r="Z19" s="31">
        <v>22.910754823586132</v>
      </c>
      <c r="AA19" s="31">
        <v>236.47763532437267</v>
      </c>
      <c r="AB19" s="62">
        <f t="shared" si="0"/>
        <v>-9.6005543398021587</v>
      </c>
    </row>
    <row r="20" spans="1:28" x14ac:dyDescent="0.25">
      <c r="A20" s="28" t="s">
        <v>25</v>
      </c>
      <c r="B20" s="29" t="s">
        <v>103</v>
      </c>
      <c r="C20" s="30"/>
      <c r="D20" s="31">
        <v>16.623402086980512</v>
      </c>
      <c r="E20" s="32" t="s">
        <v>12</v>
      </c>
      <c r="F20" s="33">
        <v>0</v>
      </c>
      <c r="G20" s="34">
        <v>16.623402086980512</v>
      </c>
      <c r="H20" s="63"/>
      <c r="I20" s="35">
        <v>4.1647213478572196</v>
      </c>
      <c r="J20" s="35">
        <v>0</v>
      </c>
      <c r="K20" s="35">
        <v>0</v>
      </c>
      <c r="L20" s="34">
        <v>4.1647213478572196</v>
      </c>
      <c r="M20" s="36"/>
      <c r="N20" s="35">
        <v>-8.4882068434109126</v>
      </c>
      <c r="O20" s="35">
        <v>0</v>
      </c>
      <c r="P20" s="35">
        <v>0</v>
      </c>
      <c r="Q20" s="34">
        <v>-8.4882068434109126</v>
      </c>
      <c r="S20" s="35">
        <v>18.2</v>
      </c>
      <c r="T20" s="35">
        <v>0</v>
      </c>
      <c r="U20" s="35">
        <v>0</v>
      </c>
      <c r="V20" s="34">
        <v>18.2</v>
      </c>
      <c r="X20" s="31">
        <v>30.499916591426818</v>
      </c>
      <c r="Y20" s="31">
        <v>0</v>
      </c>
      <c r="Z20" s="31">
        <v>0</v>
      </c>
      <c r="AA20" s="31">
        <v>30.499916591426818</v>
      </c>
      <c r="AB20" s="62">
        <f t="shared" si="0"/>
        <v>83.475779698034387</v>
      </c>
    </row>
    <row r="21" spans="1:28" x14ac:dyDescent="0.25">
      <c r="A21" s="28" t="s">
        <v>27</v>
      </c>
      <c r="B21" s="29" t="s">
        <v>113</v>
      </c>
      <c r="C21" s="30"/>
      <c r="D21" s="31">
        <v>227.7379139483611</v>
      </c>
      <c r="E21" s="32" t="s">
        <v>12</v>
      </c>
      <c r="F21" s="33">
        <v>0</v>
      </c>
      <c r="G21" s="34">
        <v>227.7379139483611</v>
      </c>
      <c r="H21" s="63"/>
      <c r="I21" s="35">
        <v>0</v>
      </c>
      <c r="J21" s="35">
        <v>0</v>
      </c>
      <c r="K21" s="35">
        <v>0</v>
      </c>
      <c r="L21" s="34">
        <v>0</v>
      </c>
      <c r="M21" s="36"/>
      <c r="N21" s="35">
        <v>20.24288433172655</v>
      </c>
      <c r="O21" s="35">
        <v>0</v>
      </c>
      <c r="P21" s="35">
        <v>0</v>
      </c>
      <c r="Q21" s="34">
        <v>20.24288433172655</v>
      </c>
      <c r="S21" s="35">
        <v>-2.2999999999999998</v>
      </c>
      <c r="T21" s="35">
        <v>0</v>
      </c>
      <c r="U21" s="35">
        <v>0</v>
      </c>
      <c r="V21" s="34">
        <v>-2.2999999999999998</v>
      </c>
      <c r="X21" s="31">
        <v>245.68079828008763</v>
      </c>
      <c r="Y21" s="31">
        <v>0</v>
      </c>
      <c r="Z21" s="31">
        <v>0</v>
      </c>
      <c r="AA21" s="31">
        <v>245.68079828008763</v>
      </c>
      <c r="AB21" s="62">
        <f t="shared" si="0"/>
        <v>7.8787427269554371</v>
      </c>
    </row>
    <row r="22" spans="1:28" x14ac:dyDescent="0.25">
      <c r="A22" s="28" t="s">
        <v>28</v>
      </c>
      <c r="B22" s="29" t="s">
        <v>26</v>
      </c>
      <c r="C22" s="30"/>
      <c r="D22" s="31">
        <v>71.482787772579314</v>
      </c>
      <c r="E22" s="32" t="s">
        <v>12</v>
      </c>
      <c r="F22" s="33">
        <v>0</v>
      </c>
      <c r="G22" s="34">
        <v>71.482787772579314</v>
      </c>
      <c r="H22" s="63"/>
      <c r="I22" s="35">
        <v>0</v>
      </c>
      <c r="J22" s="35">
        <v>0</v>
      </c>
      <c r="K22" s="35">
        <v>0</v>
      </c>
      <c r="L22" s="34">
        <v>0</v>
      </c>
      <c r="M22" s="36"/>
      <c r="N22" s="35">
        <v>12.008215705901049</v>
      </c>
      <c r="O22" s="35">
        <v>0</v>
      </c>
      <c r="P22" s="35">
        <v>0</v>
      </c>
      <c r="Q22" s="34">
        <v>12.008215705901049</v>
      </c>
      <c r="S22" s="35">
        <v>-2.6000000000000014</v>
      </c>
      <c r="T22" s="35">
        <v>0</v>
      </c>
      <c r="U22" s="35">
        <v>0</v>
      </c>
      <c r="V22" s="34">
        <v>-2.6000000000000014</v>
      </c>
      <c r="X22" s="31">
        <v>80.891003478480371</v>
      </c>
      <c r="Y22" s="31">
        <v>0</v>
      </c>
      <c r="Z22" s="31">
        <v>0</v>
      </c>
      <c r="AA22" s="31">
        <v>80.891003478480371</v>
      </c>
      <c r="AB22" s="62">
        <f t="shared" si="0"/>
        <v>13.161512021373682</v>
      </c>
    </row>
    <row r="23" spans="1:28" x14ac:dyDescent="0.25">
      <c r="A23" s="28" t="s">
        <v>29</v>
      </c>
      <c r="B23" s="29"/>
      <c r="C23" s="30"/>
      <c r="D23" s="31">
        <v>131.91835494586866</v>
      </c>
      <c r="E23" s="32" t="s">
        <v>12</v>
      </c>
      <c r="F23" s="33">
        <v>0</v>
      </c>
      <c r="G23" s="34">
        <v>131.91835494586866</v>
      </c>
      <c r="H23" s="63"/>
      <c r="I23" s="35">
        <v>0</v>
      </c>
      <c r="J23" s="35">
        <v>0</v>
      </c>
      <c r="K23" s="35">
        <v>0</v>
      </c>
      <c r="L23" s="34">
        <v>0</v>
      </c>
      <c r="M23" s="36"/>
      <c r="N23" s="35">
        <v>-3.0547380447387696E-13</v>
      </c>
      <c r="O23" s="35">
        <v>0</v>
      </c>
      <c r="P23" s="35">
        <v>0</v>
      </c>
      <c r="Q23" s="34">
        <v>-3.0547380447387696E-13</v>
      </c>
      <c r="S23" s="35">
        <v>0</v>
      </c>
      <c r="T23" s="35">
        <v>0</v>
      </c>
      <c r="U23" s="35">
        <v>0</v>
      </c>
      <c r="V23" s="34">
        <v>0</v>
      </c>
      <c r="X23" s="31">
        <v>131.91835494586834</v>
      </c>
      <c r="Y23" s="31">
        <v>0</v>
      </c>
      <c r="Z23" s="31">
        <v>0</v>
      </c>
      <c r="AA23" s="31">
        <v>131.91835494586834</v>
      </c>
      <c r="AB23" s="62">
        <f t="shared" si="0"/>
        <v>-2.2737367544323206E-13</v>
      </c>
    </row>
    <row r="24" spans="1:28" x14ac:dyDescent="0.25">
      <c r="A24" s="28" t="s">
        <v>30</v>
      </c>
      <c r="B24" s="29"/>
      <c r="C24" s="30"/>
      <c r="D24" s="31" t="s">
        <v>12</v>
      </c>
      <c r="E24" s="32">
        <v>582.16798241496588</v>
      </c>
      <c r="F24" s="33">
        <v>66.587053578845271</v>
      </c>
      <c r="G24" s="34">
        <v>648.75503599381113</v>
      </c>
      <c r="H24" s="63"/>
      <c r="I24" s="35">
        <v>0</v>
      </c>
      <c r="J24" s="35">
        <v>0</v>
      </c>
      <c r="K24" s="35">
        <v>0</v>
      </c>
      <c r="L24" s="34">
        <v>0</v>
      </c>
      <c r="M24" s="36"/>
      <c r="N24" s="35">
        <v>0</v>
      </c>
      <c r="O24" s="35">
        <v>-368.85181214748098</v>
      </c>
      <c r="P24" s="35">
        <v>144.63926479452581</v>
      </c>
      <c r="Q24" s="34">
        <v>-224.21254735295517</v>
      </c>
      <c r="S24" s="35">
        <v>0</v>
      </c>
      <c r="T24" s="35">
        <v>124.12999738501169</v>
      </c>
      <c r="U24" s="35">
        <v>14.197707596921971</v>
      </c>
      <c r="V24" s="34">
        <v>138.32770498193366</v>
      </c>
      <c r="X24" s="31">
        <v>0</v>
      </c>
      <c r="Y24" s="31">
        <v>337.44616765249657</v>
      </c>
      <c r="Z24" s="31">
        <v>225.42402597029306</v>
      </c>
      <c r="AA24" s="31">
        <v>562.87019362278966</v>
      </c>
      <c r="AB24" s="62">
        <f t="shared" si="0"/>
        <v>-13.238408583519771</v>
      </c>
    </row>
    <row r="25" spans="1:28" x14ac:dyDescent="0.25">
      <c r="A25" s="28" t="s">
        <v>31</v>
      </c>
      <c r="B25" s="29" t="s">
        <v>103</v>
      </c>
      <c r="C25" s="30"/>
      <c r="D25" s="31" t="s">
        <v>12</v>
      </c>
      <c r="E25" s="32">
        <v>485.77218399964266</v>
      </c>
      <c r="F25" s="33">
        <v>55.561520764020237</v>
      </c>
      <c r="G25" s="34">
        <v>541.33370476366292</v>
      </c>
      <c r="H25" s="63"/>
      <c r="I25" s="35">
        <v>0</v>
      </c>
      <c r="J25" s="35">
        <v>0</v>
      </c>
      <c r="K25" s="35">
        <v>-54.133370476366295</v>
      </c>
      <c r="L25" s="34">
        <v>-54.133370476366295</v>
      </c>
      <c r="M25" s="36"/>
      <c r="N25" s="35">
        <v>0</v>
      </c>
      <c r="O25" s="35">
        <v>282.35723924685101</v>
      </c>
      <c r="P25" s="35">
        <v>19.499822005866402</v>
      </c>
      <c r="Q25" s="34">
        <v>301.85706125271741</v>
      </c>
      <c r="S25" s="35">
        <v>0</v>
      </c>
      <c r="T25" s="35">
        <v>-379.87313658978331</v>
      </c>
      <c r="U25" s="35">
        <v>-40.767895760534209</v>
      </c>
      <c r="V25" s="34">
        <v>-420.64103235031797</v>
      </c>
      <c r="X25" s="31">
        <v>0</v>
      </c>
      <c r="Y25" s="31">
        <v>388.2562866567103</v>
      </c>
      <c r="Z25" s="31">
        <v>-19.839923467013865</v>
      </c>
      <c r="AA25" s="31">
        <v>368.41636318969614</v>
      </c>
      <c r="AB25" s="62">
        <f t="shared" si="0"/>
        <v>-31.942836747890951</v>
      </c>
    </row>
    <row r="26" spans="1:28" x14ac:dyDescent="0.25">
      <c r="A26" s="28" t="s">
        <v>32</v>
      </c>
      <c r="B26" s="29"/>
      <c r="C26" s="30"/>
      <c r="D26" s="31">
        <v>177.33253032140195</v>
      </c>
      <c r="E26" s="32" t="s">
        <v>12</v>
      </c>
      <c r="F26" s="33">
        <v>0</v>
      </c>
      <c r="G26" s="34">
        <v>177.33253032140195</v>
      </c>
      <c r="H26" s="63"/>
      <c r="I26" s="35">
        <v>0</v>
      </c>
      <c r="J26" s="35">
        <v>0</v>
      </c>
      <c r="K26" s="35">
        <v>0</v>
      </c>
      <c r="L26" s="34">
        <v>0</v>
      </c>
      <c r="M26" s="36"/>
      <c r="N26" s="35">
        <v>-134.08693808864189</v>
      </c>
      <c r="O26" s="35">
        <v>0</v>
      </c>
      <c r="P26" s="35">
        <v>0</v>
      </c>
      <c r="Q26" s="34">
        <v>-134.08693808864189</v>
      </c>
      <c r="S26" s="35">
        <v>107.74022963173843</v>
      </c>
      <c r="T26" s="35">
        <v>0</v>
      </c>
      <c r="U26" s="35">
        <v>0</v>
      </c>
      <c r="V26" s="34">
        <v>107.74022963173843</v>
      </c>
      <c r="X26" s="31">
        <v>150.98582186449849</v>
      </c>
      <c r="Y26" s="31">
        <v>0</v>
      </c>
      <c r="Z26" s="31">
        <v>0</v>
      </c>
      <c r="AA26" s="31">
        <v>150.98582186449849</v>
      </c>
      <c r="AB26" s="62">
        <f t="shared" si="0"/>
        <v>-14.857233700524105</v>
      </c>
    </row>
    <row r="27" spans="1:28" x14ac:dyDescent="0.25">
      <c r="A27" s="28" t="s">
        <v>33</v>
      </c>
      <c r="B27" s="29" t="s">
        <v>105</v>
      </c>
      <c r="C27" s="30"/>
      <c r="D27" s="31">
        <v>0</v>
      </c>
      <c r="E27" s="32">
        <v>0</v>
      </c>
      <c r="F27" s="33">
        <v>0</v>
      </c>
      <c r="G27" s="34">
        <v>0</v>
      </c>
      <c r="H27" s="63"/>
      <c r="I27" s="35">
        <v>0</v>
      </c>
      <c r="J27" s="35">
        <v>0</v>
      </c>
      <c r="K27" s="35">
        <v>0</v>
      </c>
      <c r="L27" s="34">
        <v>0</v>
      </c>
      <c r="M27" s="36"/>
      <c r="N27" s="35">
        <v>0</v>
      </c>
      <c r="O27" s="35">
        <v>0</v>
      </c>
      <c r="P27" s="35">
        <v>0</v>
      </c>
      <c r="Q27" s="34">
        <v>0</v>
      </c>
      <c r="S27" s="35">
        <v>0</v>
      </c>
      <c r="T27" s="35">
        <v>0</v>
      </c>
      <c r="U27" s="35">
        <v>0</v>
      </c>
      <c r="V27" s="34">
        <v>0</v>
      </c>
      <c r="X27" s="31">
        <v>0</v>
      </c>
      <c r="Y27" s="31">
        <v>0</v>
      </c>
      <c r="Z27" s="31">
        <v>0</v>
      </c>
      <c r="AA27" s="31">
        <v>0</v>
      </c>
      <c r="AB27" s="62" t="e">
        <f t="shared" si="0"/>
        <v>#DIV/0!</v>
      </c>
    </row>
    <row r="28" spans="1:28" x14ac:dyDescent="0.25">
      <c r="A28" s="41" t="s">
        <v>34</v>
      </c>
      <c r="B28" s="42"/>
      <c r="C28" s="30"/>
      <c r="D28" s="43">
        <v>2176.842579979409</v>
      </c>
      <c r="E28" s="43">
        <v>3260.12380814278</v>
      </c>
      <c r="F28" s="43">
        <v>400.57747496771771</v>
      </c>
      <c r="G28" s="43">
        <v>5837.5438630899071</v>
      </c>
      <c r="I28" s="43">
        <v>4.1647213478572196</v>
      </c>
      <c r="J28" s="43">
        <v>0</v>
      </c>
      <c r="K28" s="43">
        <v>-57.444284614866859</v>
      </c>
      <c r="L28" s="43">
        <v>-53.279563267009635</v>
      </c>
      <c r="M28" s="44"/>
      <c r="N28" s="43">
        <v>-368.5026207617567</v>
      </c>
      <c r="O28" s="43">
        <v>-1287.5891619717891</v>
      </c>
      <c r="P28" s="43">
        <v>310.40384620928882</v>
      </c>
      <c r="Q28" s="43">
        <v>-1345.6879365242571</v>
      </c>
      <c r="S28" s="43">
        <v>584.86773659457253</v>
      </c>
      <c r="T28" s="43">
        <v>-70.425258782738013</v>
      </c>
      <c r="U28" s="43">
        <v>4.759631295540629</v>
      </c>
      <c r="V28" s="43">
        <v>519.20210910737478</v>
      </c>
      <c r="X28" s="43">
        <v>2397.372417160082</v>
      </c>
      <c r="Y28" s="43">
        <v>1902.1093873882528</v>
      </c>
      <c r="Z28" s="43">
        <v>658.2966678576804</v>
      </c>
      <c r="AA28" s="43">
        <v>4957.7784724060157</v>
      </c>
      <c r="AB28" s="62">
        <f t="shared" si="0"/>
        <v>-15.070814221140893</v>
      </c>
    </row>
    <row r="29" spans="1:28" ht="17.399999999999999" x14ac:dyDescent="0.3">
      <c r="A29" s="25" t="s">
        <v>35</v>
      </c>
      <c r="B29" s="45"/>
      <c r="C29" s="30"/>
      <c r="D29" s="46"/>
      <c r="E29" s="46"/>
      <c r="F29" s="46"/>
      <c r="G29" s="47"/>
      <c r="I29" s="48"/>
      <c r="J29" s="48"/>
      <c r="K29" s="48"/>
      <c r="L29" s="48"/>
      <c r="M29" s="44"/>
      <c r="N29" s="46"/>
      <c r="O29" s="46"/>
      <c r="P29" s="46"/>
      <c r="Q29" s="49"/>
      <c r="S29" s="46"/>
      <c r="T29" s="46"/>
      <c r="U29" s="46"/>
      <c r="V29" s="49"/>
      <c r="X29" s="46"/>
      <c r="Y29" s="46"/>
      <c r="Z29" s="46"/>
      <c r="AA29" s="46"/>
      <c r="AB29" s="62" t="e">
        <f t="shared" si="0"/>
        <v>#DIV/0!</v>
      </c>
    </row>
    <row r="30" spans="1:28" x14ac:dyDescent="0.25">
      <c r="A30" s="28" t="s">
        <v>36</v>
      </c>
      <c r="B30" s="29" t="s">
        <v>202</v>
      </c>
      <c r="C30" s="30"/>
      <c r="D30" s="31" t="s">
        <v>12</v>
      </c>
      <c r="E30" s="32">
        <v>303.46314501700158</v>
      </c>
      <c r="F30" s="33">
        <v>78.38426740130555</v>
      </c>
      <c r="G30" s="34">
        <v>381.84741241830716</v>
      </c>
      <c r="H30" s="63"/>
      <c r="I30" s="35">
        <v>0</v>
      </c>
      <c r="J30" s="35">
        <v>0</v>
      </c>
      <c r="K30" s="35">
        <v>0</v>
      </c>
      <c r="L30" s="34">
        <v>0</v>
      </c>
      <c r="M30" s="36"/>
      <c r="N30" s="35">
        <v>0</v>
      </c>
      <c r="O30" s="35">
        <v>-30.242665910851287</v>
      </c>
      <c r="P30" s="35">
        <v>29.354736071981012</v>
      </c>
      <c r="Q30" s="34">
        <v>-0.88792983887028698</v>
      </c>
      <c r="S30" s="35">
        <v>0</v>
      </c>
      <c r="T30" s="35">
        <v>0</v>
      </c>
      <c r="U30" s="35">
        <v>0</v>
      </c>
      <c r="V30" s="34">
        <v>0</v>
      </c>
      <c r="X30" s="31">
        <v>0</v>
      </c>
      <c r="Y30" s="31">
        <v>273.22047910615026</v>
      </c>
      <c r="Z30" s="31">
        <v>107.73900347328656</v>
      </c>
      <c r="AA30" s="31">
        <v>380.95948257943689</v>
      </c>
      <c r="AB30" s="62">
        <f t="shared" si="0"/>
        <v>-0.23253525099119088</v>
      </c>
    </row>
    <row r="31" spans="1:28" x14ac:dyDescent="0.25">
      <c r="A31" s="28" t="s">
        <v>37</v>
      </c>
      <c r="B31" s="29"/>
      <c r="C31" s="30"/>
      <c r="D31" s="31">
        <v>0</v>
      </c>
      <c r="E31" s="32">
        <v>231.44347571816954</v>
      </c>
      <c r="F31" s="33">
        <v>26.471979881461365</v>
      </c>
      <c r="G31" s="34">
        <v>257.91545559963089</v>
      </c>
      <c r="H31" s="63"/>
      <c r="I31" s="35">
        <v>0</v>
      </c>
      <c r="J31" s="35">
        <v>0</v>
      </c>
      <c r="K31" s="35">
        <v>0</v>
      </c>
      <c r="L31" s="34">
        <v>0</v>
      </c>
      <c r="M31" s="36"/>
      <c r="N31" s="35">
        <v>0</v>
      </c>
      <c r="O31" s="35">
        <v>-5.3582395101789233</v>
      </c>
      <c r="P31" s="35">
        <v>100.81969943553349</v>
      </c>
      <c r="Q31" s="34">
        <v>95.461459925354603</v>
      </c>
      <c r="S31" s="35">
        <v>0</v>
      </c>
      <c r="T31" s="35">
        <v>0</v>
      </c>
      <c r="U31" s="35">
        <v>0</v>
      </c>
      <c r="V31" s="34">
        <v>0</v>
      </c>
      <c r="X31" s="31">
        <v>0</v>
      </c>
      <c r="Y31" s="31">
        <v>226.08523620799062</v>
      </c>
      <c r="Z31" s="31">
        <v>127.29167931699486</v>
      </c>
      <c r="AA31" s="31">
        <v>353.37691552498552</v>
      </c>
      <c r="AB31" s="62">
        <f t="shared" si="0"/>
        <v>37.012694607004107</v>
      </c>
    </row>
    <row r="32" spans="1:28" x14ac:dyDescent="0.25">
      <c r="A32" s="28" t="s">
        <v>38</v>
      </c>
      <c r="B32" s="29"/>
      <c r="C32" s="30"/>
      <c r="D32" s="31">
        <v>0</v>
      </c>
      <c r="E32" s="32">
        <v>194.77278289151417</v>
      </c>
      <c r="F32" s="33">
        <v>50.309641046557836</v>
      </c>
      <c r="G32" s="34">
        <v>245.082423938072</v>
      </c>
      <c r="H32" s="63"/>
      <c r="I32" s="35">
        <v>0</v>
      </c>
      <c r="J32" s="35">
        <v>0</v>
      </c>
      <c r="K32" s="35">
        <v>0</v>
      </c>
      <c r="L32" s="34">
        <v>0</v>
      </c>
      <c r="M32" s="36"/>
      <c r="N32" s="35">
        <v>0</v>
      </c>
      <c r="O32" s="35">
        <v>-37.547180826357874</v>
      </c>
      <c r="P32" s="35">
        <v>127.69076934997706</v>
      </c>
      <c r="Q32" s="34">
        <v>90.143588523619229</v>
      </c>
      <c r="S32" s="35">
        <v>0</v>
      </c>
      <c r="T32" s="35">
        <v>0</v>
      </c>
      <c r="U32" s="35">
        <v>0</v>
      </c>
      <c r="V32" s="34">
        <v>0</v>
      </c>
      <c r="X32" s="31">
        <v>0</v>
      </c>
      <c r="Y32" s="31">
        <v>157.22560206515629</v>
      </c>
      <c r="Z32" s="31">
        <v>178.0004103965349</v>
      </c>
      <c r="AA32" s="31">
        <v>335.2260124616912</v>
      </c>
      <c r="AB32" s="62">
        <f t="shared" si="0"/>
        <v>36.780927442759776</v>
      </c>
    </row>
    <row r="33" spans="1:28" x14ac:dyDescent="0.25">
      <c r="A33" s="28" t="s">
        <v>39</v>
      </c>
      <c r="B33" s="29"/>
      <c r="C33" s="30"/>
      <c r="D33" s="31" t="s">
        <v>12</v>
      </c>
      <c r="E33" s="32">
        <v>18.753048627315049</v>
      </c>
      <c r="F33" s="33">
        <v>4.8438962105622245</v>
      </c>
      <c r="G33" s="34">
        <v>23.596944837877274</v>
      </c>
      <c r="H33" s="63"/>
      <c r="I33" s="35">
        <v>0</v>
      </c>
      <c r="J33" s="35">
        <v>0</v>
      </c>
      <c r="K33" s="35">
        <v>0</v>
      </c>
      <c r="L33" s="34">
        <v>0</v>
      </c>
      <c r="M33" s="36"/>
      <c r="N33" s="35">
        <v>0</v>
      </c>
      <c r="O33" s="35">
        <v>-24.533460946348118</v>
      </c>
      <c r="P33" s="35">
        <v>6.3260726428538296</v>
      </c>
      <c r="Q33" s="35">
        <v>-18.207388303494287</v>
      </c>
      <c r="S33" s="35">
        <v>0</v>
      </c>
      <c r="T33" s="35">
        <v>14.7629742528196</v>
      </c>
      <c r="U33" s="35">
        <v>2.7080943351053701</v>
      </c>
      <c r="V33" s="34">
        <v>17.471068587924968</v>
      </c>
      <c r="X33" s="31">
        <v>0</v>
      </c>
      <c r="Y33" s="31">
        <v>8.9825619337865312</v>
      </c>
      <c r="Z33" s="31">
        <v>13.878063188521425</v>
      </c>
      <c r="AA33" s="31">
        <v>22.860625122307955</v>
      </c>
      <c r="AB33" s="62">
        <f t="shared" si="0"/>
        <v>-3.1204027497127385</v>
      </c>
    </row>
    <row r="34" spans="1:28" x14ac:dyDescent="0.25">
      <c r="A34" s="28" t="s">
        <v>40</v>
      </c>
      <c r="B34" s="29"/>
      <c r="C34" s="30"/>
      <c r="D34" s="31">
        <v>46.322678258527404</v>
      </c>
      <c r="E34" s="32">
        <v>0</v>
      </c>
      <c r="F34" s="33">
        <v>0</v>
      </c>
      <c r="G34" s="34">
        <v>46.322678258527404</v>
      </c>
      <c r="H34" s="63"/>
      <c r="I34" s="35">
        <v>0</v>
      </c>
      <c r="J34" s="35">
        <v>0</v>
      </c>
      <c r="K34" s="35">
        <v>0</v>
      </c>
      <c r="L34" s="34">
        <v>0</v>
      </c>
      <c r="M34" s="36"/>
      <c r="N34" s="35">
        <v>-18.991229376633378</v>
      </c>
      <c r="O34" s="35">
        <v>0</v>
      </c>
      <c r="P34" s="35">
        <v>0</v>
      </c>
      <c r="Q34" s="34">
        <v>-18.991229376633378</v>
      </c>
      <c r="S34" s="35">
        <v>48.298218045804923</v>
      </c>
      <c r="T34" s="35">
        <v>0</v>
      </c>
      <c r="U34" s="35">
        <v>0</v>
      </c>
      <c r="V34" s="34">
        <v>48.298218045804923</v>
      </c>
      <c r="X34" s="31">
        <v>75.629666927698949</v>
      </c>
      <c r="Y34" s="31">
        <v>0</v>
      </c>
      <c r="Z34" s="31">
        <v>0</v>
      </c>
      <c r="AA34" s="31">
        <v>75.629666927698949</v>
      </c>
      <c r="AB34" s="62">
        <f t="shared" si="0"/>
        <v>63.267042776777515</v>
      </c>
    </row>
    <row r="35" spans="1:28" x14ac:dyDescent="0.25">
      <c r="A35" s="28" t="s">
        <v>41</v>
      </c>
      <c r="B35" s="29" t="s">
        <v>26</v>
      </c>
      <c r="C35" s="30"/>
      <c r="D35" s="31">
        <v>157.20932639726209</v>
      </c>
      <c r="E35" s="32">
        <v>0</v>
      </c>
      <c r="F35" s="33">
        <v>0</v>
      </c>
      <c r="G35" s="34">
        <v>157.20932639726209</v>
      </c>
      <c r="H35" s="63"/>
      <c r="I35" s="35">
        <v>0</v>
      </c>
      <c r="J35" s="35">
        <v>0</v>
      </c>
      <c r="K35" s="35">
        <v>0</v>
      </c>
      <c r="L35" s="34">
        <v>0</v>
      </c>
      <c r="M35" s="36"/>
      <c r="N35" s="35">
        <v>-28.348167600648971</v>
      </c>
      <c r="O35" s="35">
        <v>0</v>
      </c>
      <c r="P35" s="35">
        <v>0</v>
      </c>
      <c r="Q35" s="34">
        <v>-28.348167600648971</v>
      </c>
      <c r="S35" s="35">
        <v>95.110337074815845</v>
      </c>
      <c r="T35" s="35">
        <v>0</v>
      </c>
      <c r="U35" s="35">
        <v>0</v>
      </c>
      <c r="V35" s="34">
        <v>95.110337074815845</v>
      </c>
      <c r="X35" s="31">
        <v>223.97149587142897</v>
      </c>
      <c r="Y35" s="31">
        <v>0</v>
      </c>
      <c r="Z35" s="31">
        <v>0</v>
      </c>
      <c r="AA35" s="31">
        <v>223.97149587142897</v>
      </c>
      <c r="AB35" s="62">
        <f t="shared" si="0"/>
        <v>42.467053961837706</v>
      </c>
    </row>
    <row r="36" spans="1:28" x14ac:dyDescent="0.25">
      <c r="A36" s="28" t="s">
        <v>42</v>
      </c>
      <c r="B36" s="29"/>
      <c r="C36" s="30"/>
      <c r="D36" s="31" t="s">
        <v>12</v>
      </c>
      <c r="E36" s="32">
        <v>40.228182601638721</v>
      </c>
      <c r="F36" s="33">
        <v>10.390904707518059</v>
      </c>
      <c r="G36" s="34">
        <v>50.619087309156782</v>
      </c>
      <c r="H36" s="63"/>
      <c r="I36" s="35">
        <v>0</v>
      </c>
      <c r="J36" s="35">
        <v>0</v>
      </c>
      <c r="K36" s="35">
        <v>0</v>
      </c>
      <c r="L36" s="34">
        <v>0</v>
      </c>
      <c r="M36" s="36"/>
      <c r="N36" s="35">
        <v>0</v>
      </c>
      <c r="O36" s="35">
        <v>-41.453433023308833</v>
      </c>
      <c r="P36" s="35">
        <v>1.1007481660267291</v>
      </c>
      <c r="Q36" s="34">
        <v>-40.352684857282107</v>
      </c>
      <c r="S36" s="35">
        <v>0</v>
      </c>
      <c r="T36" s="35">
        <v>0</v>
      </c>
      <c r="U36" s="35">
        <v>0</v>
      </c>
      <c r="V36" s="34">
        <v>0</v>
      </c>
      <c r="X36" s="31">
        <v>0</v>
      </c>
      <c r="Y36" s="31">
        <v>-1.2252504216701112</v>
      </c>
      <c r="Z36" s="31">
        <v>11.491652873544789</v>
      </c>
      <c r="AA36" s="31">
        <v>10.266402451874676</v>
      </c>
      <c r="AB36" s="62">
        <f t="shared" si="0"/>
        <v>-79.718317738183458</v>
      </c>
    </row>
    <row r="37" spans="1:28" x14ac:dyDescent="0.25">
      <c r="A37" s="28" t="s">
        <v>43</v>
      </c>
      <c r="B37" s="29" t="s">
        <v>11</v>
      </c>
      <c r="C37" s="30"/>
      <c r="D37" s="31" t="s">
        <v>12</v>
      </c>
      <c r="E37" s="32">
        <v>310.30556701602541</v>
      </c>
      <c r="F37" s="33">
        <v>80.15165907456462</v>
      </c>
      <c r="G37" s="34">
        <v>390.45722609059004</v>
      </c>
      <c r="H37" s="63"/>
      <c r="I37" s="35">
        <v>0</v>
      </c>
      <c r="J37" s="35">
        <v>0</v>
      </c>
      <c r="K37" s="35">
        <v>0</v>
      </c>
      <c r="L37" s="34">
        <v>0</v>
      </c>
      <c r="M37" s="36"/>
      <c r="N37" s="35">
        <v>0</v>
      </c>
      <c r="O37" s="35">
        <v>-144.72876576766137</v>
      </c>
      <c r="P37" s="35">
        <v>-55.071914706289711</v>
      </c>
      <c r="Q37" s="34">
        <v>-199.8006804739511</v>
      </c>
      <c r="S37" s="35">
        <v>0</v>
      </c>
      <c r="T37" s="35">
        <v>9.6776623823724766</v>
      </c>
      <c r="U37" s="35">
        <v>2.4997318074883212</v>
      </c>
      <c r="V37" s="34">
        <v>12.177394189860799</v>
      </c>
      <c r="X37" s="31">
        <v>0</v>
      </c>
      <c r="Y37" s="31">
        <v>175.25446363073652</v>
      </c>
      <c r="Z37" s="31">
        <v>27.579476175763229</v>
      </c>
      <c r="AA37" s="31">
        <v>202.83393980649973</v>
      </c>
      <c r="AB37" s="62">
        <f t="shared" si="0"/>
        <v>-48.052199766578219</v>
      </c>
    </row>
    <row r="38" spans="1:28" x14ac:dyDescent="0.25">
      <c r="A38" s="28" t="s">
        <v>44</v>
      </c>
      <c r="B38" s="29" t="s">
        <v>26</v>
      </c>
      <c r="C38" s="30"/>
      <c r="D38" s="31">
        <v>90.424686384010968</v>
      </c>
      <c r="E38" s="32" t="s">
        <v>12</v>
      </c>
      <c r="F38" s="33">
        <v>0</v>
      </c>
      <c r="G38" s="34">
        <v>90.424686384010968</v>
      </c>
      <c r="H38" s="63"/>
      <c r="I38" s="35">
        <v>0</v>
      </c>
      <c r="J38" s="35">
        <v>0</v>
      </c>
      <c r="K38" s="35">
        <v>0</v>
      </c>
      <c r="L38" s="34">
        <v>0</v>
      </c>
      <c r="M38" s="36"/>
      <c r="N38" s="35">
        <v>-47.706077000784653</v>
      </c>
      <c r="O38" s="35">
        <v>0</v>
      </c>
      <c r="P38" s="35">
        <v>0</v>
      </c>
      <c r="Q38" s="34">
        <v>-47.706077000784653</v>
      </c>
      <c r="S38" s="35">
        <v>39.381623945040936</v>
      </c>
      <c r="T38" s="35">
        <v>0</v>
      </c>
      <c r="U38" s="35">
        <v>0</v>
      </c>
      <c r="V38" s="34">
        <v>39.381623945040936</v>
      </c>
      <c r="X38" s="31">
        <v>82.100233328267251</v>
      </c>
      <c r="Y38" s="31">
        <v>0</v>
      </c>
      <c r="Z38" s="31">
        <v>0</v>
      </c>
      <c r="AA38" s="31">
        <v>82.100233328267251</v>
      </c>
      <c r="AB38" s="62">
        <f t="shared" si="0"/>
        <v>-9.2059518131938631</v>
      </c>
    </row>
    <row r="39" spans="1:28" x14ac:dyDescent="0.25">
      <c r="A39" s="28" t="s">
        <v>45</v>
      </c>
      <c r="B39" s="29" t="s">
        <v>11</v>
      </c>
      <c r="C39" s="30"/>
      <c r="D39" s="31" t="s">
        <v>12</v>
      </c>
      <c r="E39" s="32">
        <v>318.74445265558688</v>
      </c>
      <c r="F39" s="33">
        <v>82.331415922808461</v>
      </c>
      <c r="G39" s="34">
        <v>401.07586857839533</v>
      </c>
      <c r="H39" s="63"/>
      <c r="I39" s="35">
        <v>0</v>
      </c>
      <c r="J39" s="35">
        <v>0</v>
      </c>
      <c r="K39" s="35">
        <v>0</v>
      </c>
      <c r="L39" s="34">
        <v>0</v>
      </c>
      <c r="M39" s="36"/>
      <c r="N39" s="35">
        <v>0</v>
      </c>
      <c r="O39" s="35">
        <v>-54.034086764795127</v>
      </c>
      <c r="P39" s="35">
        <v>-64.37974309636671</v>
      </c>
      <c r="Q39" s="34">
        <v>-118.41382986116189</v>
      </c>
      <c r="S39" s="35">
        <v>0</v>
      </c>
      <c r="T39" s="35">
        <v>0</v>
      </c>
      <c r="U39" s="35">
        <v>0</v>
      </c>
      <c r="V39" s="34">
        <v>0</v>
      </c>
      <c r="X39" s="31">
        <v>0</v>
      </c>
      <c r="Y39" s="31">
        <v>264.71036589079176</v>
      </c>
      <c r="Z39" s="31">
        <v>17.951672826441751</v>
      </c>
      <c r="AA39" s="31">
        <v>282.66203871723343</v>
      </c>
      <c r="AB39" s="62">
        <f t="shared" si="0"/>
        <v>-29.52404747781938</v>
      </c>
    </row>
    <row r="40" spans="1:28" x14ac:dyDescent="0.25">
      <c r="A40" s="28" t="s">
        <v>46</v>
      </c>
      <c r="B40" s="29"/>
      <c r="C40" s="30"/>
      <c r="D40" s="31" t="s">
        <v>12</v>
      </c>
      <c r="E40" s="32">
        <v>116.35744690313396</v>
      </c>
      <c r="F40" s="33">
        <v>13.308700899517984</v>
      </c>
      <c r="G40" s="34">
        <v>129.66614780265195</v>
      </c>
      <c r="H40" s="63"/>
      <c r="I40" s="35">
        <v>0</v>
      </c>
      <c r="J40" s="35">
        <v>0</v>
      </c>
      <c r="K40" s="35">
        <v>0</v>
      </c>
      <c r="L40" s="34">
        <v>0</v>
      </c>
      <c r="M40" s="36"/>
      <c r="N40" s="35">
        <v>0</v>
      </c>
      <c r="O40" s="35">
        <v>68.684792297878204</v>
      </c>
      <c r="P40" s="35">
        <v>31.962163541923665</v>
      </c>
      <c r="Q40" s="34">
        <v>100.64695583980185</v>
      </c>
      <c r="S40" s="35">
        <v>0</v>
      </c>
      <c r="T40" s="35">
        <v>-10.927528286116639</v>
      </c>
      <c r="U40" s="35">
        <v>-1.2498659037441606</v>
      </c>
      <c r="V40" s="34">
        <v>-12.177394189860799</v>
      </c>
      <c r="X40" s="31">
        <v>0</v>
      </c>
      <c r="Y40" s="31">
        <v>174.11471091489554</v>
      </c>
      <c r="Z40" s="31">
        <v>44.020998537697487</v>
      </c>
      <c r="AA40" s="31">
        <v>218.13570945259301</v>
      </c>
      <c r="AB40" s="62">
        <f t="shared" si="0"/>
        <v>68.228726733356126</v>
      </c>
    </row>
    <row r="41" spans="1:28" x14ac:dyDescent="0.25">
      <c r="A41" s="28" t="s">
        <v>47</v>
      </c>
      <c r="B41" s="29"/>
      <c r="C41" s="30"/>
      <c r="D41" s="31">
        <v>23.203898302170252</v>
      </c>
      <c r="E41" s="32" t="s">
        <v>12</v>
      </c>
      <c r="F41" s="33">
        <v>0</v>
      </c>
      <c r="G41" s="34">
        <v>23.203898302170252</v>
      </c>
      <c r="H41" s="63"/>
      <c r="I41" s="35">
        <v>0</v>
      </c>
      <c r="J41" s="35">
        <v>0</v>
      </c>
      <c r="K41" s="35">
        <v>0</v>
      </c>
      <c r="L41" s="34">
        <v>0</v>
      </c>
      <c r="M41" s="36"/>
      <c r="N41" s="35">
        <v>6.1000247333698274</v>
      </c>
      <c r="O41" s="35">
        <v>0</v>
      </c>
      <c r="P41" s="35">
        <v>0</v>
      </c>
      <c r="Q41" s="34">
        <v>6.1000247333698274</v>
      </c>
      <c r="S41" s="35">
        <v>0</v>
      </c>
      <c r="T41" s="35">
        <v>0</v>
      </c>
      <c r="U41" s="35">
        <v>0</v>
      </c>
      <c r="V41" s="34">
        <v>0</v>
      </c>
      <c r="X41" s="31">
        <v>29.30392303554008</v>
      </c>
      <c r="Y41" s="31">
        <v>0</v>
      </c>
      <c r="Z41" s="31">
        <v>0</v>
      </c>
      <c r="AA41" s="31">
        <v>29.30392303554008</v>
      </c>
      <c r="AB41" s="62">
        <f t="shared" si="0"/>
        <v>26.28879274479192</v>
      </c>
    </row>
    <row r="42" spans="1:28" x14ac:dyDescent="0.25">
      <c r="A42" s="28" t="s">
        <v>48</v>
      </c>
      <c r="B42" s="29"/>
      <c r="C42" s="30"/>
      <c r="D42" s="31" t="s">
        <v>12</v>
      </c>
      <c r="E42" s="32">
        <v>47.191048471064278</v>
      </c>
      <c r="F42" s="33">
        <v>5.3976051035125794</v>
      </c>
      <c r="G42" s="34">
        <v>52.58865357457686</v>
      </c>
      <c r="H42" s="63"/>
      <c r="I42" s="35">
        <v>0</v>
      </c>
      <c r="J42" s="35">
        <v>0</v>
      </c>
      <c r="K42" s="35">
        <v>0</v>
      </c>
      <c r="L42" s="34">
        <v>0</v>
      </c>
      <c r="M42" s="36"/>
      <c r="N42" s="35">
        <v>0</v>
      </c>
      <c r="O42" s="35">
        <v>-14.578313398184955</v>
      </c>
      <c r="P42" s="35">
        <v>9.7643963453350509</v>
      </c>
      <c r="Q42" s="34">
        <v>-4.813917052849904</v>
      </c>
      <c r="S42" s="35">
        <v>0</v>
      </c>
      <c r="T42" s="35">
        <v>40.007054355293484</v>
      </c>
      <c r="U42" s="35">
        <v>4.5759161485264457</v>
      </c>
      <c r="V42" s="34">
        <v>44.582970503819929</v>
      </c>
      <c r="X42" s="31">
        <v>0</v>
      </c>
      <c r="Y42" s="31">
        <v>72.619789428172808</v>
      </c>
      <c r="Z42" s="31">
        <v>19.737917597374075</v>
      </c>
      <c r="AA42" s="31">
        <v>92.357707025546887</v>
      </c>
      <c r="AB42" s="62">
        <f t="shared" si="0"/>
        <v>75.622878221388305</v>
      </c>
    </row>
    <row r="43" spans="1:28" x14ac:dyDescent="0.25">
      <c r="A43" s="50" t="s">
        <v>49</v>
      </c>
      <c r="B43" s="29"/>
      <c r="C43" s="51"/>
      <c r="D43" s="31">
        <v>0</v>
      </c>
      <c r="E43" s="32">
        <v>131.5618869111338</v>
      </c>
      <c r="F43" s="33">
        <v>15.04775026676295</v>
      </c>
      <c r="G43" s="34">
        <v>146.60963717789676</v>
      </c>
      <c r="H43" s="63"/>
      <c r="I43" s="35">
        <v>0</v>
      </c>
      <c r="J43" s="35">
        <v>0</v>
      </c>
      <c r="K43" s="35">
        <v>0</v>
      </c>
      <c r="L43" s="34">
        <v>0</v>
      </c>
      <c r="M43" s="36"/>
      <c r="N43" s="35">
        <v>0</v>
      </c>
      <c r="O43" s="35">
        <v>20.947526490153699</v>
      </c>
      <c r="P43" s="35">
        <v>50.072296265134327</v>
      </c>
      <c r="Q43" s="34">
        <v>71.019822755288033</v>
      </c>
      <c r="S43" s="35">
        <v>0</v>
      </c>
      <c r="T43" s="35">
        <v>33.339211962744564</v>
      </c>
      <c r="U43" s="35">
        <v>3.8132634571053718</v>
      </c>
      <c r="V43" s="34">
        <v>37.152475419849935</v>
      </c>
      <c r="X43" s="31">
        <v>0</v>
      </c>
      <c r="Y43" s="31">
        <v>185.84862536403207</v>
      </c>
      <c r="Z43" s="31">
        <v>68.933309989002652</v>
      </c>
      <c r="AA43" s="31">
        <v>254.78193535303473</v>
      </c>
      <c r="AB43" s="62">
        <f t="shared" si="0"/>
        <v>73.782529073365907</v>
      </c>
    </row>
    <row r="44" spans="1:28" x14ac:dyDescent="0.25">
      <c r="A44" s="28" t="s">
        <v>50</v>
      </c>
      <c r="B44" s="29" t="s">
        <v>11</v>
      </c>
      <c r="C44" s="30"/>
      <c r="D44" s="31" t="s">
        <v>12</v>
      </c>
      <c r="E44" s="32">
        <v>53.56126845931594</v>
      </c>
      <c r="F44" s="33">
        <v>13.834829231183637</v>
      </c>
      <c r="G44" s="34">
        <v>67.396097690499573</v>
      </c>
      <c r="H44" s="63"/>
      <c r="I44" s="35">
        <v>0</v>
      </c>
      <c r="J44" s="35">
        <v>0</v>
      </c>
      <c r="K44" s="35">
        <v>0</v>
      </c>
      <c r="L44" s="34">
        <v>0</v>
      </c>
      <c r="M44" s="36"/>
      <c r="N44" s="35">
        <v>0</v>
      </c>
      <c r="O44" s="35">
        <v>0.6510181649566591</v>
      </c>
      <c r="P44" s="35">
        <v>-9.8382814593850689</v>
      </c>
      <c r="Q44" s="34">
        <v>-9.1872632944284085</v>
      </c>
      <c r="S44" s="35">
        <v>0</v>
      </c>
      <c r="T44" s="35">
        <v>28.935429535526414</v>
      </c>
      <c r="U44" s="35">
        <v>7.4739963759265287</v>
      </c>
      <c r="V44" s="34">
        <v>36.409425911452942</v>
      </c>
      <c r="X44" s="31">
        <v>0</v>
      </c>
      <c r="Y44" s="31">
        <v>83.147716159799018</v>
      </c>
      <c r="Z44" s="31">
        <v>11.470544147725096</v>
      </c>
      <c r="AA44" s="31">
        <v>94.61826030752411</v>
      </c>
      <c r="AB44" s="62">
        <f t="shared" si="0"/>
        <v>40.391303873461339</v>
      </c>
    </row>
    <row r="45" spans="1:28" x14ac:dyDescent="0.25">
      <c r="A45" s="28" t="s">
        <v>51</v>
      </c>
      <c r="B45" s="29"/>
      <c r="C45" s="30"/>
      <c r="D45" s="31">
        <v>0</v>
      </c>
      <c r="E45" s="32">
        <v>274.69730867116124</v>
      </c>
      <c r="F45" s="33">
        <v>31.419255202896569</v>
      </c>
      <c r="G45" s="34">
        <v>306.11656387405782</v>
      </c>
      <c r="H45" s="63"/>
      <c r="I45" s="35">
        <v>0</v>
      </c>
      <c r="J45" s="35">
        <v>0</v>
      </c>
      <c r="K45" s="35">
        <v>0</v>
      </c>
      <c r="L45" s="34">
        <v>0</v>
      </c>
      <c r="M45" s="36"/>
      <c r="N45" s="35">
        <v>0</v>
      </c>
      <c r="O45" s="35">
        <v>3.4710739945286813</v>
      </c>
      <c r="P45" s="35">
        <v>35.517569349017108</v>
      </c>
      <c r="Q45" s="34">
        <v>38.988643343545768</v>
      </c>
      <c r="S45" s="35">
        <v>0</v>
      </c>
      <c r="T45" s="35">
        <v>0</v>
      </c>
      <c r="U45" s="35">
        <v>0</v>
      </c>
      <c r="V45" s="34">
        <v>0</v>
      </c>
      <c r="X45" s="31">
        <v>0</v>
      </c>
      <c r="Y45" s="31">
        <v>278.16838266568993</v>
      </c>
      <c r="Z45" s="31">
        <v>66.936824551913674</v>
      </c>
      <c r="AA45" s="31">
        <v>345.10520721760361</v>
      </c>
      <c r="AB45" s="62">
        <f t="shared" si="0"/>
        <v>12.736535014677102</v>
      </c>
    </row>
    <row r="46" spans="1:28" x14ac:dyDescent="0.25">
      <c r="A46" s="28" t="s">
        <v>52</v>
      </c>
      <c r="B46" s="29"/>
      <c r="C46" s="30"/>
      <c r="D46" s="31" t="s">
        <v>12</v>
      </c>
      <c r="E46" s="32">
        <v>1132.3676559581036</v>
      </c>
      <c r="F46" s="33">
        <v>292.4895843158705</v>
      </c>
      <c r="G46" s="34">
        <v>1424.857240273974</v>
      </c>
      <c r="H46" s="63"/>
      <c r="I46" s="35">
        <v>0</v>
      </c>
      <c r="J46" s="35">
        <v>0</v>
      </c>
      <c r="K46" s="35">
        <v>0</v>
      </c>
      <c r="L46" s="34">
        <v>0</v>
      </c>
      <c r="M46" s="36"/>
      <c r="N46" s="35">
        <v>0</v>
      </c>
      <c r="O46" s="35">
        <v>396.54944196187483</v>
      </c>
      <c r="P46" s="35">
        <v>-67.885753785685893</v>
      </c>
      <c r="Q46" s="34">
        <v>328.66368817618894</v>
      </c>
      <c r="S46" s="35">
        <v>0</v>
      </c>
      <c r="T46" s="35">
        <v>49.013074519361069</v>
      </c>
      <c r="U46" s="35">
        <v>12.660034677589831</v>
      </c>
      <c r="V46" s="34">
        <v>61.673109196950897</v>
      </c>
      <c r="X46" s="31">
        <v>0</v>
      </c>
      <c r="Y46" s="31">
        <v>1577.9301724393395</v>
      </c>
      <c r="Z46" s="31">
        <v>237.26386520777444</v>
      </c>
      <c r="AA46" s="31">
        <v>1815.1940376471139</v>
      </c>
      <c r="AB46" s="62">
        <f t="shared" si="0"/>
        <v>27.394800429135287</v>
      </c>
    </row>
    <row r="47" spans="1:28" x14ac:dyDescent="0.25">
      <c r="A47" s="28" t="s">
        <v>53</v>
      </c>
      <c r="B47" s="29" t="s">
        <v>11</v>
      </c>
      <c r="C47" s="30"/>
      <c r="D47" s="31" t="s">
        <v>12</v>
      </c>
      <c r="E47" s="32">
        <v>192.22581171361236</v>
      </c>
      <c r="F47" s="33">
        <v>49.651760598304762</v>
      </c>
      <c r="G47" s="34">
        <v>241.87757231191713</v>
      </c>
      <c r="H47" s="63"/>
      <c r="I47" s="35">
        <v>0</v>
      </c>
      <c r="J47" s="35">
        <v>0</v>
      </c>
      <c r="K47" s="35">
        <v>0</v>
      </c>
      <c r="L47" s="34">
        <v>0</v>
      </c>
      <c r="M47" s="36"/>
      <c r="N47" s="35">
        <v>0</v>
      </c>
      <c r="O47" s="35">
        <v>-115.06661849157945</v>
      </c>
      <c r="P47" s="35">
        <v>60.198238630135712</v>
      </c>
      <c r="Q47" s="34">
        <v>-54.868379861443728</v>
      </c>
      <c r="S47" s="35">
        <v>0</v>
      </c>
      <c r="T47" s="35">
        <v>0.87830396810545219</v>
      </c>
      <c r="U47" s="35">
        <v>0.22686515389454767</v>
      </c>
      <c r="V47" s="34">
        <v>1.1051691219999999</v>
      </c>
      <c r="X47" s="31">
        <v>0</v>
      </c>
      <c r="Y47" s="31">
        <v>78.037497190138367</v>
      </c>
      <c r="Z47" s="31">
        <v>110.07686438233503</v>
      </c>
      <c r="AA47" s="31">
        <v>188.1143615724734</v>
      </c>
      <c r="AB47" s="62">
        <f t="shared" si="0"/>
        <v>-22.2274476403759</v>
      </c>
    </row>
    <row r="48" spans="1:28" x14ac:dyDescent="0.25">
      <c r="A48" s="28" t="s">
        <v>54</v>
      </c>
      <c r="B48" s="29"/>
      <c r="C48" s="30"/>
      <c r="D48" s="31">
        <v>108.97016323065546</v>
      </c>
      <c r="E48" s="32" t="s">
        <v>12</v>
      </c>
      <c r="F48" s="33">
        <v>0</v>
      </c>
      <c r="G48" s="34">
        <v>108.97016323065546</v>
      </c>
      <c r="H48" s="63"/>
      <c r="I48" s="35">
        <v>0</v>
      </c>
      <c r="J48" s="35">
        <v>0</v>
      </c>
      <c r="K48" s="35">
        <v>0</v>
      </c>
      <c r="L48" s="34">
        <v>0</v>
      </c>
      <c r="M48" s="36"/>
      <c r="N48" s="35">
        <v>-66.376663337050317</v>
      </c>
      <c r="O48" s="35">
        <v>0</v>
      </c>
      <c r="P48" s="35">
        <v>0</v>
      </c>
      <c r="Q48" s="34">
        <v>-66.376663337050317</v>
      </c>
      <c r="S48" s="35">
        <v>0</v>
      </c>
      <c r="T48" s="35">
        <v>0</v>
      </c>
      <c r="U48" s="35">
        <v>0</v>
      </c>
      <c r="V48" s="34">
        <v>0</v>
      </c>
      <c r="X48" s="31">
        <v>42.593499893605141</v>
      </c>
      <c r="Y48" s="31">
        <v>0</v>
      </c>
      <c r="Z48" s="31">
        <v>0</v>
      </c>
      <c r="AA48" s="31">
        <v>42.593499893605141</v>
      </c>
      <c r="AB48" s="62">
        <f t="shared" si="0"/>
        <v>-60.912695153582419</v>
      </c>
    </row>
    <row r="49" spans="1:28" x14ac:dyDescent="0.25">
      <c r="A49" s="28" t="s">
        <v>55</v>
      </c>
      <c r="B49" s="29" t="s">
        <v>26</v>
      </c>
      <c r="C49" s="30"/>
      <c r="D49" s="31" t="s">
        <v>12</v>
      </c>
      <c r="E49" s="32">
        <v>200.99617282008717</v>
      </c>
      <c r="F49" s="33">
        <v>22.989486424854842</v>
      </c>
      <c r="G49" s="34">
        <v>223.98565924494201</v>
      </c>
      <c r="H49" s="63"/>
      <c r="I49" s="35">
        <v>0</v>
      </c>
      <c r="J49" s="35">
        <v>0</v>
      </c>
      <c r="K49" s="35">
        <v>0</v>
      </c>
      <c r="L49" s="34">
        <v>0</v>
      </c>
      <c r="M49" s="36"/>
      <c r="N49" s="35">
        <v>0</v>
      </c>
      <c r="O49" s="35">
        <v>-52.936570861706002</v>
      </c>
      <c r="P49" s="35">
        <v>-17.320213237403706</v>
      </c>
      <c r="Q49" s="34">
        <v>-70.256784099109709</v>
      </c>
      <c r="S49" s="35">
        <v>0</v>
      </c>
      <c r="T49" s="35">
        <v>0</v>
      </c>
      <c r="U49" s="35">
        <v>0</v>
      </c>
      <c r="V49" s="34">
        <v>0</v>
      </c>
      <c r="X49" s="31">
        <v>0</v>
      </c>
      <c r="Y49" s="31">
        <v>148.05960195838117</v>
      </c>
      <c r="Z49" s="31">
        <v>5.669273187451136</v>
      </c>
      <c r="AA49" s="31">
        <v>153.72887514583232</v>
      </c>
      <c r="AB49" s="62">
        <f t="shared" si="0"/>
        <v>-31.366643889589199</v>
      </c>
    </row>
    <row r="50" spans="1:28" x14ac:dyDescent="0.25">
      <c r="A50" s="53" t="s">
        <v>34</v>
      </c>
      <c r="B50" s="54"/>
      <c r="C50" s="55"/>
      <c r="D50" s="56">
        <v>426.13075257262619</v>
      </c>
      <c r="E50" s="56">
        <v>3566.6692544348634</v>
      </c>
      <c r="F50" s="56">
        <v>777.02273628768194</v>
      </c>
      <c r="G50" s="56">
        <v>4769.8227432951717</v>
      </c>
      <c r="I50" s="56">
        <v>0</v>
      </c>
      <c r="J50" s="56">
        <v>0</v>
      </c>
      <c r="K50" s="56">
        <v>0</v>
      </c>
      <c r="L50" s="56">
        <v>0</v>
      </c>
      <c r="M50" s="57"/>
      <c r="N50" s="56">
        <v>-155.32211258174749</v>
      </c>
      <c r="O50" s="56">
        <v>-30.175482591579851</v>
      </c>
      <c r="P50" s="56">
        <v>238.31078351278694</v>
      </c>
      <c r="Q50" s="56">
        <v>52.813188339459515</v>
      </c>
      <c r="S50" s="56">
        <v>182.7901790656617</v>
      </c>
      <c r="T50" s="56">
        <v>165.68618269010642</v>
      </c>
      <c r="U50" s="56">
        <v>32.708036051892257</v>
      </c>
      <c r="V50" s="56">
        <v>381.18439780766045</v>
      </c>
      <c r="X50" s="56">
        <v>453.59881905654038</v>
      </c>
      <c r="Y50" s="56">
        <v>3702.1799545333906</v>
      </c>
      <c r="Z50" s="56">
        <v>1048.0415558523612</v>
      </c>
      <c r="AA50" s="56">
        <v>5203.8203294422929</v>
      </c>
      <c r="AB50" s="62">
        <f t="shared" si="0"/>
        <v>9.0988200087137869</v>
      </c>
    </row>
    <row r="51" spans="1:28" ht="17.399999999999999" x14ac:dyDescent="0.3">
      <c r="A51" s="25" t="s">
        <v>56</v>
      </c>
      <c r="B51" s="58"/>
      <c r="C51" s="59"/>
      <c r="D51" s="59"/>
      <c r="E51" s="59"/>
      <c r="F51" s="59"/>
      <c r="G51" s="47"/>
      <c r="I51" s="60"/>
      <c r="J51" s="61"/>
      <c r="K51" s="61"/>
      <c r="L51" s="60"/>
      <c r="M51" s="61"/>
      <c r="N51" s="59"/>
      <c r="O51" s="59"/>
      <c r="P51" s="59"/>
      <c r="Q51" s="59"/>
      <c r="S51" s="59"/>
      <c r="T51" s="59"/>
      <c r="U51" s="59"/>
      <c r="V51" s="59"/>
      <c r="X51" s="59"/>
      <c r="Y51" s="59"/>
      <c r="Z51" s="59"/>
      <c r="AA51" s="59"/>
      <c r="AB51" s="62" t="e">
        <f t="shared" si="0"/>
        <v>#DIV/0!</v>
      </c>
    </row>
    <row r="52" spans="1:28" x14ac:dyDescent="0.25">
      <c r="A52" s="28" t="s">
        <v>57</v>
      </c>
      <c r="B52" s="29" t="s">
        <v>11</v>
      </c>
      <c r="C52" s="30"/>
      <c r="D52" s="31" t="s">
        <v>12</v>
      </c>
      <c r="E52" s="32">
        <v>118.5581084466903</v>
      </c>
      <c r="F52" s="33">
        <v>30.623456678924573</v>
      </c>
      <c r="G52" s="34">
        <v>149.18156512561487</v>
      </c>
      <c r="H52" s="63"/>
      <c r="I52" s="35">
        <v>0</v>
      </c>
      <c r="J52" s="35">
        <v>0</v>
      </c>
      <c r="K52" s="35">
        <v>0</v>
      </c>
      <c r="L52" s="34">
        <v>0</v>
      </c>
      <c r="M52" s="36"/>
      <c r="N52" s="35">
        <v>0</v>
      </c>
      <c r="O52" s="35">
        <v>-59.847291826385202</v>
      </c>
      <c r="P52" s="35">
        <v>-31.591705249245255</v>
      </c>
      <c r="Q52" s="34">
        <v>-91.438997075630425</v>
      </c>
      <c r="S52" s="35">
        <v>0</v>
      </c>
      <c r="T52" s="35">
        <v>0</v>
      </c>
      <c r="U52" s="35">
        <v>0</v>
      </c>
      <c r="V52" s="34">
        <v>0</v>
      </c>
      <c r="X52" s="31">
        <v>0</v>
      </c>
      <c r="Y52" s="31">
        <v>58.710816620305096</v>
      </c>
      <c r="Z52" s="31">
        <v>-0.96824857032068223</v>
      </c>
      <c r="AA52" s="31">
        <v>57.742568049984442</v>
      </c>
      <c r="AB52" s="62">
        <f t="shared" si="0"/>
        <v>-61.293764412939588</v>
      </c>
    </row>
    <row r="53" spans="1:28" x14ac:dyDescent="0.25">
      <c r="A53" s="28" t="s">
        <v>58</v>
      </c>
      <c r="B53" s="29"/>
      <c r="C53" s="30"/>
      <c r="D53" s="31" t="s">
        <v>12</v>
      </c>
      <c r="E53" s="32">
        <v>18.125658551370652</v>
      </c>
      <c r="F53" s="33">
        <v>4.6818418975912168</v>
      </c>
      <c r="G53" s="34">
        <v>22.807500448961868</v>
      </c>
      <c r="H53" s="63"/>
      <c r="I53" s="35">
        <v>0</v>
      </c>
      <c r="J53" s="35">
        <v>0</v>
      </c>
      <c r="K53" s="35">
        <v>0</v>
      </c>
      <c r="L53" s="34">
        <v>0</v>
      </c>
      <c r="M53" s="36"/>
      <c r="N53" s="35">
        <v>0</v>
      </c>
      <c r="O53" s="35">
        <v>-27.032482525795292</v>
      </c>
      <c r="P53" s="35">
        <v>5.5189211345486271</v>
      </c>
      <c r="Q53" s="34">
        <v>-21.513561391246661</v>
      </c>
      <c r="S53" s="35">
        <v>0</v>
      </c>
      <c r="T53" s="35">
        <v>15.890327157871246</v>
      </c>
      <c r="U53" s="35">
        <v>4.1044577356074807</v>
      </c>
      <c r="V53" s="34">
        <v>19.994784893478727</v>
      </c>
      <c r="X53" s="31">
        <v>0</v>
      </c>
      <c r="Y53" s="31">
        <v>6.9835031834466061</v>
      </c>
      <c r="Z53" s="31">
        <v>14.305220767747324</v>
      </c>
      <c r="AA53" s="31">
        <v>21.288723951193933</v>
      </c>
      <c r="AB53" s="62">
        <f t="shared" si="0"/>
        <v>-6.6591098010350578</v>
      </c>
    </row>
    <row r="54" spans="1:28" x14ac:dyDescent="0.25">
      <c r="A54" s="28" t="s">
        <v>59</v>
      </c>
      <c r="B54" s="29"/>
      <c r="C54" s="30"/>
      <c r="D54" s="31">
        <v>15.963410263929944</v>
      </c>
      <c r="E54" s="32" t="s">
        <v>12</v>
      </c>
      <c r="F54" s="33">
        <v>0</v>
      </c>
      <c r="G54" s="34">
        <v>15.963410263929944</v>
      </c>
      <c r="H54" s="63"/>
      <c r="I54" s="35">
        <v>0</v>
      </c>
      <c r="J54" s="35">
        <v>0</v>
      </c>
      <c r="K54" s="35">
        <v>0</v>
      </c>
      <c r="L54" s="34">
        <v>0</v>
      </c>
      <c r="M54" s="36"/>
      <c r="N54" s="35">
        <v>21.904744302229492</v>
      </c>
      <c r="O54" s="35">
        <v>0</v>
      </c>
      <c r="P54" s="35">
        <v>0</v>
      </c>
      <c r="Q54" s="34">
        <v>21.904744302229492</v>
      </c>
      <c r="S54" s="35">
        <v>-3.7</v>
      </c>
      <c r="T54" s="35">
        <v>0</v>
      </c>
      <c r="U54" s="35">
        <v>0</v>
      </c>
      <c r="V54" s="34">
        <v>-3.7</v>
      </c>
      <c r="X54" s="31">
        <v>34.16815456615943</v>
      </c>
      <c r="Y54" s="31">
        <v>0</v>
      </c>
      <c r="Z54" s="31">
        <v>0</v>
      </c>
      <c r="AA54" s="31">
        <v>34.16815456615943</v>
      </c>
      <c r="AB54" s="62">
        <f t="shared" si="0"/>
        <v>114.04044625329175</v>
      </c>
    </row>
    <row r="55" spans="1:28" x14ac:dyDescent="0.25">
      <c r="A55" s="28" t="s">
        <v>60</v>
      </c>
      <c r="B55" s="29" t="s">
        <v>11</v>
      </c>
      <c r="C55" s="30"/>
      <c r="D55" s="31" t="s">
        <v>12</v>
      </c>
      <c r="E55" s="32">
        <v>51.018497338158127</v>
      </c>
      <c r="F55" s="33">
        <v>13.178033653948106</v>
      </c>
      <c r="G55" s="34">
        <v>64.196530992106233</v>
      </c>
      <c r="H55" s="63"/>
      <c r="I55" s="35">
        <v>0</v>
      </c>
      <c r="J55" s="35">
        <v>0</v>
      </c>
      <c r="K55" s="35">
        <v>0</v>
      </c>
      <c r="L55" s="34">
        <v>0</v>
      </c>
      <c r="M55" s="36"/>
      <c r="N55" s="35">
        <v>0</v>
      </c>
      <c r="O55" s="35">
        <v>-0.79786959730281681</v>
      </c>
      <c r="P55" s="35">
        <v>-7.6823480035026259</v>
      </c>
      <c r="Q55" s="34">
        <v>-8.480217600805446</v>
      </c>
      <c r="S55" s="35">
        <v>0</v>
      </c>
      <c r="T55" s="35">
        <v>15.594100564460973</v>
      </c>
      <c r="U55" s="35">
        <v>4.0279426632155841</v>
      </c>
      <c r="V55" s="34">
        <v>19.622043227676556</v>
      </c>
      <c r="X55" s="31">
        <v>0</v>
      </c>
      <c r="Y55" s="31">
        <v>65.814728305316294</v>
      </c>
      <c r="Z55" s="31">
        <v>9.5236283136610638</v>
      </c>
      <c r="AA55" s="31">
        <v>75.338356618977343</v>
      </c>
      <c r="AB55" s="62">
        <f t="shared" si="0"/>
        <v>17.355806388107069</v>
      </c>
    </row>
    <row r="56" spans="1:28" x14ac:dyDescent="0.25">
      <c r="A56" s="28" t="s">
        <v>61</v>
      </c>
      <c r="B56" s="29"/>
      <c r="C56" s="30"/>
      <c r="D56" s="31">
        <v>15.189266717193977</v>
      </c>
      <c r="E56" s="32" t="s">
        <v>12</v>
      </c>
      <c r="F56" s="33">
        <v>0</v>
      </c>
      <c r="G56" s="34">
        <v>15.189266717193977</v>
      </c>
      <c r="H56" s="63"/>
      <c r="I56" s="35">
        <v>0</v>
      </c>
      <c r="J56" s="35">
        <v>0</v>
      </c>
      <c r="K56" s="35">
        <v>0</v>
      </c>
      <c r="L56" s="34">
        <v>0</v>
      </c>
      <c r="M56" s="36"/>
      <c r="N56" s="35">
        <v>33.586033376198188</v>
      </c>
      <c r="O56" s="35">
        <v>0</v>
      </c>
      <c r="P56" s="35">
        <v>0</v>
      </c>
      <c r="Q56" s="34">
        <v>33.586033376198188</v>
      </c>
      <c r="S56" s="35">
        <v>7.1999999999999993</v>
      </c>
      <c r="T56" s="35">
        <v>0</v>
      </c>
      <c r="U56" s="35">
        <v>0</v>
      </c>
      <c r="V56" s="34">
        <v>7.1999999999999993</v>
      </c>
      <c r="X56" s="31">
        <v>55.975300093392164</v>
      </c>
      <c r="Y56" s="31">
        <v>0</v>
      </c>
      <c r="Z56" s="31">
        <v>0</v>
      </c>
      <c r="AA56" s="31">
        <v>55.975300093392164</v>
      </c>
      <c r="AB56" s="62">
        <f t="shared" si="0"/>
        <v>268.5187780001857</v>
      </c>
    </row>
    <row r="57" spans="1:28" x14ac:dyDescent="0.25">
      <c r="A57" s="28" t="s">
        <v>62</v>
      </c>
      <c r="B57" s="29" t="s">
        <v>63</v>
      </c>
      <c r="C57" s="30"/>
      <c r="D57" s="31">
        <v>15.65049593344132</v>
      </c>
      <c r="E57" s="32" t="s">
        <v>12</v>
      </c>
      <c r="F57" s="33">
        <v>0</v>
      </c>
      <c r="G57" s="34">
        <v>15.65049593344132</v>
      </c>
      <c r="H57" s="63"/>
      <c r="I57" s="35">
        <v>0</v>
      </c>
      <c r="J57" s="35">
        <v>0</v>
      </c>
      <c r="K57" s="35">
        <v>0</v>
      </c>
      <c r="L57" s="34">
        <v>0</v>
      </c>
      <c r="M57" s="36"/>
      <c r="N57" s="35">
        <v>35.426982399777273</v>
      </c>
      <c r="O57" s="35">
        <v>0</v>
      </c>
      <c r="P57" s="35">
        <v>0</v>
      </c>
      <c r="Q57" s="34">
        <v>35.426982399777273</v>
      </c>
      <c r="S57" s="35">
        <v>15.52742884915399</v>
      </c>
      <c r="T57" s="35">
        <v>0</v>
      </c>
      <c r="U57" s="35">
        <v>0</v>
      </c>
      <c r="V57" s="34">
        <v>15.52742884915399</v>
      </c>
      <c r="X57" s="31">
        <v>66.604907182372585</v>
      </c>
      <c r="Y57" s="31">
        <v>0</v>
      </c>
      <c r="Z57" s="31">
        <v>0</v>
      </c>
      <c r="AA57" s="31">
        <v>66.604907182372585</v>
      </c>
      <c r="AB57" s="62">
        <f t="shared" si="0"/>
        <v>325.57697510437373</v>
      </c>
    </row>
    <row r="58" spans="1:28" x14ac:dyDescent="0.25">
      <c r="A58" s="28" t="s">
        <v>64</v>
      </c>
      <c r="B58" s="29" t="s">
        <v>204</v>
      </c>
      <c r="C58" s="30"/>
      <c r="D58" s="31">
        <v>40.802697545890354</v>
      </c>
      <c r="E58" s="32">
        <v>0</v>
      </c>
      <c r="F58" s="33">
        <v>0</v>
      </c>
      <c r="G58" s="34">
        <v>40.802697545890354</v>
      </c>
      <c r="H58" s="63"/>
      <c r="I58" s="35">
        <v>0</v>
      </c>
      <c r="J58" s="35">
        <v>0</v>
      </c>
      <c r="K58" s="35">
        <v>0</v>
      </c>
      <c r="L58" s="34">
        <v>0</v>
      </c>
      <c r="M58" s="36"/>
      <c r="N58" s="35">
        <v>21.493171454109163</v>
      </c>
      <c r="O58" s="35">
        <v>0</v>
      </c>
      <c r="P58" s="35">
        <v>0</v>
      </c>
      <c r="Q58" s="34">
        <v>21.493171454109163</v>
      </c>
      <c r="S58" s="35">
        <v>0</v>
      </c>
      <c r="T58" s="35">
        <v>0</v>
      </c>
      <c r="U58" s="35">
        <v>0</v>
      </c>
      <c r="V58" s="34">
        <v>0</v>
      </c>
      <c r="X58" s="31">
        <v>62.29586899999952</v>
      </c>
      <c r="Y58" s="31">
        <v>0</v>
      </c>
      <c r="Z58" s="31">
        <v>0</v>
      </c>
      <c r="AA58" s="31">
        <v>62.29586899999952</v>
      </c>
      <c r="AB58" s="62">
        <f t="shared" si="0"/>
        <v>52.675859065288591</v>
      </c>
    </row>
    <row r="59" spans="1:28" x14ac:dyDescent="0.25">
      <c r="A59" s="28" t="s">
        <v>65</v>
      </c>
      <c r="B59" s="29" t="s">
        <v>103</v>
      </c>
      <c r="C59" s="30"/>
      <c r="D59" s="31" t="s">
        <v>12</v>
      </c>
      <c r="E59" s="32">
        <v>56.755648114705942</v>
      </c>
      <c r="F59" s="33">
        <v>14.659934728180156</v>
      </c>
      <c r="G59" s="34">
        <v>71.415582842886096</v>
      </c>
      <c r="H59" s="63"/>
      <c r="I59" s="35">
        <v>0</v>
      </c>
      <c r="J59" s="35">
        <v>0</v>
      </c>
      <c r="K59" s="35">
        <v>16.306143529053202</v>
      </c>
      <c r="L59" s="34">
        <v>16.306143529053202</v>
      </c>
      <c r="M59" s="36"/>
      <c r="N59" s="35">
        <v>0</v>
      </c>
      <c r="O59" s="35">
        <v>106.24746006587189</v>
      </c>
      <c r="P59" s="35">
        <v>16.888590854945129</v>
      </c>
      <c r="Q59" s="34">
        <v>123.13605092081701</v>
      </c>
      <c r="S59" s="35">
        <v>0</v>
      </c>
      <c r="T59" s="35">
        <v>-3.3898520305777602</v>
      </c>
      <c r="U59" s="35">
        <v>-0.75466911217853094</v>
      </c>
      <c r="V59" s="34">
        <v>-4.1445211427562896</v>
      </c>
      <c r="X59" s="31">
        <v>0</v>
      </c>
      <c r="Y59" s="31">
        <v>159.61325615000007</v>
      </c>
      <c r="Z59" s="31">
        <v>47.099999999999952</v>
      </c>
      <c r="AA59" s="31">
        <v>206.71325615000001</v>
      </c>
      <c r="AB59" s="62">
        <f t="shared" si="0"/>
        <v>189.45119247261215</v>
      </c>
    </row>
    <row r="60" spans="1:28" x14ac:dyDescent="0.25">
      <c r="A60" s="28" t="s">
        <v>66</v>
      </c>
      <c r="B60" s="29"/>
      <c r="C60" s="30"/>
      <c r="D60" s="31">
        <v>18.384262859143533</v>
      </c>
      <c r="E60" s="32" t="s">
        <v>12</v>
      </c>
      <c r="F60" s="33">
        <v>0</v>
      </c>
      <c r="G60" s="34">
        <v>18.384262859143533</v>
      </c>
      <c r="H60" s="63"/>
      <c r="I60" s="35">
        <v>0</v>
      </c>
      <c r="J60" s="35">
        <v>0</v>
      </c>
      <c r="K60" s="35">
        <v>0</v>
      </c>
      <c r="L60" s="34">
        <v>0</v>
      </c>
      <c r="M60" s="36"/>
      <c r="N60" s="35">
        <v>33.386434922254153</v>
      </c>
      <c r="O60" s="35">
        <v>0</v>
      </c>
      <c r="P60" s="35">
        <v>0</v>
      </c>
      <c r="Q60" s="34">
        <v>33.386434922254153</v>
      </c>
      <c r="S60" s="35">
        <v>-12.282907706397699</v>
      </c>
      <c r="T60" s="35">
        <v>0</v>
      </c>
      <c r="U60" s="35">
        <v>0</v>
      </c>
      <c r="V60" s="34">
        <v>-12.282907706397699</v>
      </c>
      <c r="X60" s="31">
        <v>39.487790074999985</v>
      </c>
      <c r="Y60" s="31">
        <v>0</v>
      </c>
      <c r="Z60" s="31">
        <v>0</v>
      </c>
      <c r="AA60" s="31">
        <v>39.487790074999985</v>
      </c>
      <c r="AB60" s="62">
        <f t="shared" si="0"/>
        <v>114.79126129531201</v>
      </c>
    </row>
    <row r="61" spans="1:28" x14ac:dyDescent="0.25">
      <c r="A61" s="28" t="s">
        <v>67</v>
      </c>
      <c r="B61" s="29"/>
      <c r="C61" s="30"/>
      <c r="D61" s="31">
        <v>9.6730038423470539</v>
      </c>
      <c r="E61" s="32">
        <v>7.687364303897648</v>
      </c>
      <c r="F61" s="33">
        <v>1.9856395384494061</v>
      </c>
      <c r="G61" s="34">
        <v>19.346007684694108</v>
      </c>
      <c r="H61" s="63"/>
      <c r="I61" s="35">
        <v>0</v>
      </c>
      <c r="J61" s="35">
        <v>0</v>
      </c>
      <c r="K61" s="35">
        <v>0</v>
      </c>
      <c r="L61" s="34">
        <v>0</v>
      </c>
      <c r="M61" s="36"/>
      <c r="N61" s="35">
        <v>-1.7947923861322179</v>
      </c>
      <c r="O61" s="35">
        <v>6.2830307932137828</v>
      </c>
      <c r="P61" s="35">
        <v>5.0181085406539996</v>
      </c>
      <c r="Q61" s="34">
        <v>9.5063469477355635</v>
      </c>
      <c r="S61" s="35">
        <v>9.555333022466499</v>
      </c>
      <c r="T61" s="35">
        <v>7.5938485279191426</v>
      </c>
      <c r="U61" s="35">
        <v>1.9614844945473564</v>
      </c>
      <c r="V61" s="34">
        <v>19.110666044932998</v>
      </c>
      <c r="X61" s="31">
        <v>17.433544478681334</v>
      </c>
      <c r="Y61" s="31">
        <v>21.564243625030574</v>
      </c>
      <c r="Z61" s="31">
        <v>8.9652325736507628</v>
      </c>
      <c r="AA61" s="31">
        <v>47.963020677362671</v>
      </c>
      <c r="AB61" s="62">
        <f t="shared" si="0"/>
        <v>147.92205947126419</v>
      </c>
    </row>
    <row r="62" spans="1:28" x14ac:dyDescent="0.25">
      <c r="A62" s="28" t="s">
        <v>68</v>
      </c>
      <c r="B62" s="29" t="s">
        <v>103</v>
      </c>
      <c r="C62" s="30"/>
      <c r="D62" s="31" t="s">
        <v>12</v>
      </c>
      <c r="E62" s="32">
        <v>17.171819632778554</v>
      </c>
      <c r="F62" s="33">
        <v>4.4354661314384414</v>
      </c>
      <c r="G62" s="34">
        <v>21.607285764216996</v>
      </c>
      <c r="H62" s="63"/>
      <c r="I62" s="35">
        <v>0</v>
      </c>
      <c r="J62" s="35">
        <v>0</v>
      </c>
      <c r="K62" s="35">
        <v>-2.1607285764216999</v>
      </c>
      <c r="L62" s="34">
        <v>-2.1607285764216999</v>
      </c>
      <c r="M62" s="36"/>
      <c r="N62" s="35">
        <v>0</v>
      </c>
      <c r="O62" s="35">
        <v>-11.891714312235662</v>
      </c>
      <c r="P62" s="35">
        <v>5.2202914076648899</v>
      </c>
      <c r="Q62" s="34">
        <v>-6.6714229045707718</v>
      </c>
      <c r="S62" s="35">
        <v>0</v>
      </c>
      <c r="T62" s="35">
        <v>-10.152700533046598</v>
      </c>
      <c r="U62" s="35">
        <v>-2.6224337501778558</v>
      </c>
      <c r="V62" s="34">
        <v>-12.775134283224455</v>
      </c>
      <c r="X62" s="31">
        <v>0</v>
      </c>
      <c r="Y62" s="31">
        <v>-4.8725952125037058</v>
      </c>
      <c r="Z62" s="31">
        <v>4.8725952125037759</v>
      </c>
      <c r="AA62" s="31">
        <v>6.9277916736609768E-14</v>
      </c>
      <c r="AB62" s="62">
        <f t="shared" si="0"/>
        <v>-99.999999999999673</v>
      </c>
    </row>
    <row r="63" spans="1:28" x14ac:dyDescent="0.25">
      <c r="A63" s="50" t="s">
        <v>69</v>
      </c>
      <c r="B63" s="29" t="s">
        <v>103</v>
      </c>
      <c r="C63" s="51"/>
      <c r="D63" s="31">
        <v>16.046155000706175</v>
      </c>
      <c r="E63" s="32" t="s">
        <v>12</v>
      </c>
      <c r="F63" s="33">
        <v>0</v>
      </c>
      <c r="G63" s="34">
        <v>16.046155000706175</v>
      </c>
      <c r="H63" s="63"/>
      <c r="I63" s="35">
        <v>4.0341612941275438</v>
      </c>
      <c r="J63" s="35">
        <v>0</v>
      </c>
      <c r="K63" s="35">
        <v>0</v>
      </c>
      <c r="L63" s="34">
        <v>4.0341612941275438</v>
      </c>
      <c r="M63" s="36"/>
      <c r="N63" s="35">
        <v>24.567382428450788</v>
      </c>
      <c r="O63" s="35">
        <v>0</v>
      </c>
      <c r="P63" s="35">
        <v>0</v>
      </c>
      <c r="Q63" s="34">
        <v>24.567382428450788</v>
      </c>
      <c r="S63" s="35">
        <v>0</v>
      </c>
      <c r="T63" s="35">
        <v>0</v>
      </c>
      <c r="U63" s="35">
        <v>0</v>
      </c>
      <c r="V63" s="34">
        <v>0</v>
      </c>
      <c r="X63" s="31">
        <v>44.647698723284506</v>
      </c>
      <c r="Y63" s="31">
        <v>0</v>
      </c>
      <c r="Z63" s="31">
        <v>0</v>
      </c>
      <c r="AA63" s="31">
        <v>44.647698723284506</v>
      </c>
      <c r="AB63" s="62">
        <f t="shared" si="0"/>
        <v>178.24546579114815</v>
      </c>
    </row>
    <row r="64" spans="1:28" x14ac:dyDescent="0.25">
      <c r="A64" s="28" t="s">
        <v>70</v>
      </c>
      <c r="B64" s="29"/>
      <c r="C64" s="30"/>
      <c r="D64" s="31">
        <v>15.073556900732033</v>
      </c>
      <c r="E64" s="32" t="s">
        <v>12</v>
      </c>
      <c r="F64" s="33">
        <v>0</v>
      </c>
      <c r="G64" s="34">
        <v>15.073556900732033</v>
      </c>
      <c r="H64" s="63"/>
      <c r="I64" s="35">
        <v>0</v>
      </c>
      <c r="J64" s="35">
        <v>0</v>
      </c>
      <c r="K64" s="35">
        <v>0</v>
      </c>
      <c r="L64" s="34">
        <v>0</v>
      </c>
      <c r="M64" s="36"/>
      <c r="N64" s="35">
        <v>-12.891375288500049</v>
      </c>
      <c r="O64" s="35">
        <v>0</v>
      </c>
      <c r="P64" s="35">
        <v>0</v>
      </c>
      <c r="Q64" s="34">
        <v>-12.891375288500049</v>
      </c>
      <c r="S64" s="35">
        <v>0</v>
      </c>
      <c r="T64" s="35">
        <v>0</v>
      </c>
      <c r="U64" s="35">
        <v>0</v>
      </c>
      <c r="V64" s="34">
        <v>0</v>
      </c>
      <c r="X64" s="31">
        <v>2.1821816122319841</v>
      </c>
      <c r="Y64" s="31">
        <v>0</v>
      </c>
      <c r="Z64" s="31">
        <v>0</v>
      </c>
      <c r="AA64" s="31">
        <v>2.1821816122319841</v>
      </c>
      <c r="AB64" s="62">
        <f t="shared" si="0"/>
        <v>-85.523114241695609</v>
      </c>
    </row>
    <row r="65" spans="1:28" x14ac:dyDescent="0.25">
      <c r="A65" s="28" t="s">
        <v>71</v>
      </c>
      <c r="B65" s="29" t="s">
        <v>114</v>
      </c>
      <c r="C65" s="30"/>
      <c r="D65" s="31">
        <v>8.8777947605663066</v>
      </c>
      <c r="E65" s="32">
        <v>7.0553928905653782</v>
      </c>
      <c r="F65" s="33">
        <v>1.8224018700009286</v>
      </c>
      <c r="G65" s="34">
        <v>17.755589521132613</v>
      </c>
      <c r="H65" s="63"/>
      <c r="I65" s="35">
        <v>0</v>
      </c>
      <c r="J65" s="35">
        <v>0</v>
      </c>
      <c r="K65" s="35">
        <v>0</v>
      </c>
      <c r="L65" s="34">
        <v>0</v>
      </c>
      <c r="M65" s="36"/>
      <c r="N65" s="35">
        <v>-3.065667867968469</v>
      </c>
      <c r="O65" s="35">
        <v>-6.6197894399450821</v>
      </c>
      <c r="P65" s="35">
        <v>-4.5878428023385584E-2</v>
      </c>
      <c r="Q65" s="34">
        <v>-9.7313357359369359</v>
      </c>
      <c r="S65" s="35">
        <v>9.5630887960362596</v>
      </c>
      <c r="T65" s="35">
        <v>1.4305024553425898</v>
      </c>
      <c r="U65" s="35">
        <v>0.36949754465741019</v>
      </c>
      <c r="V65" s="34">
        <v>11.363088796036259</v>
      </c>
      <c r="X65" s="31">
        <v>15.375215688634096</v>
      </c>
      <c r="Y65" s="31">
        <v>1.8661059059628859</v>
      </c>
      <c r="Z65" s="31">
        <v>2.1460209866349533</v>
      </c>
      <c r="AA65" s="31">
        <v>19.387342581231934</v>
      </c>
      <c r="AB65" s="62">
        <f t="shared" si="0"/>
        <v>9.1900810060810301</v>
      </c>
    </row>
    <row r="66" spans="1:28" x14ac:dyDescent="0.25">
      <c r="A66" s="41" t="s">
        <v>34</v>
      </c>
      <c r="B66" s="54"/>
      <c r="C66" s="64"/>
      <c r="D66" s="65">
        <v>155.66064382395069</v>
      </c>
      <c r="E66" s="65">
        <v>276.3724892781666</v>
      </c>
      <c r="F66" s="65">
        <v>71.38677449853283</v>
      </c>
      <c r="G66" s="65">
        <v>503.41990760065011</v>
      </c>
      <c r="I66" s="65">
        <v>4.0341612941275438</v>
      </c>
      <c r="J66" s="65">
        <v>0</v>
      </c>
      <c r="K66" s="65">
        <v>14.145414952631501</v>
      </c>
      <c r="L66" s="65">
        <v>18.179576246759044</v>
      </c>
      <c r="M66" s="66"/>
      <c r="N66" s="65">
        <v>152.61291334041829</v>
      </c>
      <c r="O66" s="65">
        <v>6.341343157421619</v>
      </c>
      <c r="P66" s="65">
        <v>-6.6740197429586239</v>
      </c>
      <c r="Q66" s="65">
        <v>152.28023675488132</v>
      </c>
      <c r="S66" s="65">
        <v>25.862942961259051</v>
      </c>
      <c r="T66" s="65">
        <v>26.966226141969599</v>
      </c>
      <c r="U66" s="65">
        <v>7.086279575671445</v>
      </c>
      <c r="V66" s="65">
        <v>59.915448678900084</v>
      </c>
      <c r="X66" s="65">
        <v>338.17066141975562</v>
      </c>
      <c r="Y66" s="65">
        <v>309.68005857755787</v>
      </c>
      <c r="Z66" s="65">
        <v>85.944449283877148</v>
      </c>
      <c r="AA66" s="65">
        <v>733.79516928119062</v>
      </c>
      <c r="AB66" s="62">
        <f t="shared" si="0"/>
        <v>45.762048381942662</v>
      </c>
    </row>
    <row r="67" spans="1:28" ht="17.399999999999999" x14ac:dyDescent="0.3">
      <c r="A67" s="25" t="s">
        <v>72</v>
      </c>
      <c r="B67" s="67"/>
      <c r="C67" s="59"/>
      <c r="D67" s="68"/>
      <c r="E67" s="68"/>
      <c r="F67" s="68"/>
      <c r="G67" s="47"/>
      <c r="I67" s="69"/>
      <c r="J67" s="69"/>
      <c r="K67" s="69"/>
      <c r="L67" s="69"/>
      <c r="M67" s="70"/>
      <c r="N67" s="68"/>
      <c r="O67" s="68"/>
      <c r="P67" s="68"/>
      <c r="Q67" s="68"/>
      <c r="S67" s="68"/>
      <c r="T67" s="68"/>
      <c r="X67" s="68"/>
      <c r="Y67" s="68"/>
      <c r="Z67" s="68"/>
      <c r="AA67" s="68"/>
      <c r="AB67" s="62" t="e">
        <f t="shared" si="0"/>
        <v>#DIV/0!</v>
      </c>
    </row>
    <row r="68" spans="1:28" x14ac:dyDescent="0.25">
      <c r="A68" s="28" t="s">
        <v>73</v>
      </c>
      <c r="B68" s="29" t="s">
        <v>11</v>
      </c>
      <c r="C68" s="30"/>
      <c r="D68" s="31" t="s">
        <v>12</v>
      </c>
      <c r="E68" s="32">
        <v>26.793578737350046</v>
      </c>
      <c r="F68" s="33">
        <v>6.9207581707120198</v>
      </c>
      <c r="G68" s="34">
        <v>33.714336908062066</v>
      </c>
      <c r="H68" s="63"/>
      <c r="I68" s="35">
        <v>0</v>
      </c>
      <c r="J68" s="35">
        <v>0</v>
      </c>
      <c r="K68" s="35">
        <v>0</v>
      </c>
      <c r="L68" s="34">
        <v>0</v>
      </c>
      <c r="M68" s="36"/>
      <c r="N68" s="35">
        <v>0</v>
      </c>
      <c r="O68" s="35">
        <v>7.4414791570066292</v>
      </c>
      <c r="P68" s="35">
        <v>5.3361500925177507</v>
      </c>
      <c r="Q68" s="34">
        <v>12.777629249524377</v>
      </c>
      <c r="S68" s="35">
        <v>0</v>
      </c>
      <c r="T68" s="35">
        <v>0</v>
      </c>
      <c r="U68" s="35">
        <v>0</v>
      </c>
      <c r="V68" s="34">
        <v>0</v>
      </c>
      <c r="X68" s="31">
        <v>0</v>
      </c>
      <c r="Y68" s="31">
        <v>34.235057894356672</v>
      </c>
      <c r="Z68" s="31">
        <v>12.256908263229771</v>
      </c>
      <c r="AA68" s="31">
        <v>46.491966157586447</v>
      </c>
      <c r="AB68" s="62">
        <f t="shared" si="0"/>
        <v>37.899690224869545</v>
      </c>
    </row>
    <row r="69" spans="1:28" x14ac:dyDescent="0.25">
      <c r="A69" s="28" t="s">
        <v>74</v>
      </c>
      <c r="B69" s="29"/>
      <c r="C69" s="30"/>
      <c r="D69" s="31" t="s">
        <v>12</v>
      </c>
      <c r="E69" s="32">
        <v>70.591719326355104</v>
      </c>
      <c r="F69" s="33">
        <v>8.0741207675284539</v>
      </c>
      <c r="G69" s="34">
        <v>78.66584009388356</v>
      </c>
      <c r="H69" s="63"/>
      <c r="I69" s="35">
        <v>0</v>
      </c>
      <c r="J69" s="35">
        <v>0</v>
      </c>
      <c r="K69" s="35">
        <v>0</v>
      </c>
      <c r="L69" s="34">
        <v>0</v>
      </c>
      <c r="M69" s="36"/>
      <c r="N69" s="35">
        <v>0</v>
      </c>
      <c r="O69" s="35">
        <v>-25.111935857765854</v>
      </c>
      <c r="P69" s="35">
        <v>-1.225170296751108</v>
      </c>
      <c r="Q69" s="34">
        <v>-26.337106154516967</v>
      </c>
      <c r="S69" s="35">
        <v>0</v>
      </c>
      <c r="T69" s="35">
        <v>123.58334023736001</v>
      </c>
      <c r="U69" s="35">
        <v>14.135182192091319</v>
      </c>
      <c r="V69" s="34">
        <v>137.71852242945133</v>
      </c>
      <c r="X69" s="31">
        <v>0</v>
      </c>
      <c r="Y69" s="31">
        <v>169.06312370594924</v>
      </c>
      <c r="Z69" s="31">
        <v>20.984132662868667</v>
      </c>
      <c r="AA69" s="31">
        <v>190.04725636881793</v>
      </c>
      <c r="AB69" s="62">
        <f t="shared" si="0"/>
        <v>141.58803381748223</v>
      </c>
    </row>
    <row r="70" spans="1:28" x14ac:dyDescent="0.25">
      <c r="A70" s="28" t="s">
        <v>75</v>
      </c>
      <c r="B70" s="29"/>
      <c r="C70" s="30"/>
      <c r="D70" s="31">
        <v>99.262628233367167</v>
      </c>
      <c r="E70" s="32" t="s">
        <v>12</v>
      </c>
      <c r="F70" s="33">
        <v>0</v>
      </c>
      <c r="G70" s="34">
        <v>99.262628233367167</v>
      </c>
      <c r="H70" s="63"/>
      <c r="I70" s="35">
        <v>0</v>
      </c>
      <c r="J70" s="35">
        <v>0</v>
      </c>
      <c r="K70" s="35">
        <v>0</v>
      </c>
      <c r="L70" s="34">
        <v>0</v>
      </c>
      <c r="M70" s="36"/>
      <c r="N70" s="35">
        <v>133.76653594013194</v>
      </c>
      <c r="O70" s="35">
        <v>0</v>
      </c>
      <c r="P70" s="35">
        <v>0</v>
      </c>
      <c r="Q70" s="34">
        <v>133.76653594013194</v>
      </c>
      <c r="S70" s="35">
        <v>-36.28399598928651</v>
      </c>
      <c r="T70" s="35">
        <v>0</v>
      </c>
      <c r="U70" s="35">
        <v>0</v>
      </c>
      <c r="V70" s="34">
        <v>-36.28399598928651</v>
      </c>
      <c r="X70" s="31">
        <v>196.74516818421262</v>
      </c>
      <c r="Y70" s="31">
        <v>0</v>
      </c>
      <c r="Z70" s="31">
        <v>0</v>
      </c>
      <c r="AA70" s="31">
        <v>196.74516818421262</v>
      </c>
      <c r="AB70" s="62">
        <f t="shared" si="0"/>
        <v>98.206688343636529</v>
      </c>
    </row>
    <row r="71" spans="1:28" x14ac:dyDescent="0.25">
      <c r="A71" s="71" t="s">
        <v>76</v>
      </c>
      <c r="B71" s="72"/>
      <c r="C71" s="30"/>
      <c r="D71" s="31" t="s">
        <v>12</v>
      </c>
      <c r="E71" s="32">
        <v>385.09772286995178</v>
      </c>
      <c r="F71" s="33">
        <v>99.470408122808436</v>
      </c>
      <c r="G71" s="34">
        <v>484.56813099276019</v>
      </c>
      <c r="H71" s="63"/>
      <c r="I71" s="35">
        <v>0</v>
      </c>
      <c r="J71" s="35">
        <v>0</v>
      </c>
      <c r="K71" s="35">
        <v>0</v>
      </c>
      <c r="L71" s="34">
        <v>0</v>
      </c>
      <c r="M71" s="36"/>
      <c r="N71" s="35">
        <v>0</v>
      </c>
      <c r="O71" s="35">
        <v>136.24074339184091</v>
      </c>
      <c r="P71" s="35">
        <v>4.4698024976828545</v>
      </c>
      <c r="Q71" s="34">
        <v>140.71054588952381</v>
      </c>
      <c r="S71" s="35">
        <v>0</v>
      </c>
      <c r="T71" s="35">
        <v>-58.934493004381657</v>
      </c>
      <c r="U71" s="35">
        <v>0</v>
      </c>
      <c r="V71" s="34">
        <v>-58.934493004381657</v>
      </c>
      <c r="X71" s="31">
        <v>0</v>
      </c>
      <c r="Y71" s="31">
        <v>462.40397325741111</v>
      </c>
      <c r="Z71" s="31">
        <v>103.94021062049129</v>
      </c>
      <c r="AA71" s="31">
        <v>566.34418387790231</v>
      </c>
      <c r="AB71" s="62">
        <f t="shared" si="0"/>
        <v>16.876069154115285</v>
      </c>
    </row>
    <row r="72" spans="1:28" x14ac:dyDescent="0.25">
      <c r="A72" s="41" t="s">
        <v>34</v>
      </c>
      <c r="B72" s="73"/>
      <c r="C72" s="64"/>
      <c r="D72" s="65">
        <v>99.262628233367167</v>
      </c>
      <c r="E72" s="65">
        <v>482.48302093365692</v>
      </c>
      <c r="F72" s="65">
        <v>114.46528706104891</v>
      </c>
      <c r="G72" s="65">
        <v>696.21093622807302</v>
      </c>
      <c r="I72" s="65">
        <v>0</v>
      </c>
      <c r="J72" s="65">
        <v>0</v>
      </c>
      <c r="K72" s="65">
        <v>0</v>
      </c>
      <c r="L72" s="65">
        <v>0</v>
      </c>
      <c r="M72" s="66"/>
      <c r="N72" s="65">
        <v>133.76653594013194</v>
      </c>
      <c r="O72" s="65">
        <v>118.57028669108169</v>
      </c>
      <c r="P72" s="65">
        <v>8.5807822934494968</v>
      </c>
      <c r="Q72" s="65">
        <v>260.91760492466318</v>
      </c>
      <c r="S72" s="65">
        <v>-36.28399598928651</v>
      </c>
      <c r="T72" s="65">
        <v>64.648847232978341</v>
      </c>
      <c r="U72" s="65">
        <v>14.135182192091319</v>
      </c>
      <c r="V72" s="65">
        <v>42.500033435783159</v>
      </c>
      <c r="X72" s="65">
        <v>196.74516818421262</v>
      </c>
      <c r="Y72" s="65">
        <v>665.70215485771701</v>
      </c>
      <c r="Z72" s="65">
        <v>137.18125154658972</v>
      </c>
      <c r="AA72" s="65">
        <v>999.62857458851931</v>
      </c>
      <c r="AB72" s="62">
        <f t="shared" si="0"/>
        <v>43.581280122415251</v>
      </c>
    </row>
    <row r="73" spans="1:28" ht="17.399999999999999" x14ac:dyDescent="0.3">
      <c r="A73" s="25" t="s">
        <v>77</v>
      </c>
      <c r="B73" s="58"/>
      <c r="C73" s="59"/>
      <c r="D73" s="68"/>
      <c r="E73" s="68"/>
      <c r="F73" s="68"/>
      <c r="G73" s="47"/>
      <c r="I73" s="69"/>
      <c r="J73" s="69"/>
      <c r="K73" s="69"/>
      <c r="L73" s="69"/>
      <c r="M73" s="70"/>
      <c r="N73" s="68"/>
      <c r="O73" s="68"/>
      <c r="P73" s="68"/>
      <c r="Q73" s="68"/>
      <c r="S73" s="68"/>
      <c r="T73" s="68"/>
      <c r="U73" s="68"/>
      <c r="V73" s="68"/>
      <c r="X73" s="68"/>
      <c r="Y73" s="68"/>
      <c r="Z73" s="68"/>
      <c r="AA73" s="47"/>
      <c r="AB73" s="62" t="e">
        <f t="shared" ref="AB73:AB99" si="1">AA73/G73*100-100</f>
        <v>#DIV/0!</v>
      </c>
    </row>
    <row r="74" spans="1:28" x14ac:dyDescent="0.25">
      <c r="A74" s="28" t="s">
        <v>78</v>
      </c>
      <c r="B74" s="29" t="s">
        <v>17</v>
      </c>
      <c r="C74" s="30"/>
      <c r="D74" s="31" t="s">
        <v>12</v>
      </c>
      <c r="E74" s="32">
        <v>13.917659056679501</v>
      </c>
      <c r="F74" s="33">
        <v>3.5949192744240763</v>
      </c>
      <c r="G74" s="34">
        <v>17.512578331103576</v>
      </c>
      <c r="H74" s="63"/>
      <c r="I74" s="35">
        <v>0</v>
      </c>
      <c r="J74" s="35">
        <v>0</v>
      </c>
      <c r="K74" s="35">
        <v>0</v>
      </c>
      <c r="L74" s="34">
        <v>0</v>
      </c>
      <c r="M74" s="36"/>
      <c r="N74" s="35">
        <v>0</v>
      </c>
      <c r="O74" s="35">
        <v>0</v>
      </c>
      <c r="P74" s="35">
        <v>0</v>
      </c>
      <c r="Q74" s="34">
        <v>0</v>
      </c>
      <c r="S74" s="35">
        <v>0</v>
      </c>
      <c r="T74" s="35">
        <v>0</v>
      </c>
      <c r="U74" s="35">
        <v>0</v>
      </c>
      <c r="V74" s="34">
        <v>0</v>
      </c>
      <c r="X74" s="31">
        <v>0</v>
      </c>
      <c r="Y74" s="31">
        <v>13.917659056679501</v>
      </c>
      <c r="Z74" s="31">
        <v>3.5949192744240763</v>
      </c>
      <c r="AA74" s="31">
        <v>17.512578331103576</v>
      </c>
      <c r="AB74" s="62">
        <f t="shared" si="1"/>
        <v>0</v>
      </c>
    </row>
    <row r="75" spans="1:28" x14ac:dyDescent="0.25">
      <c r="A75" s="28" t="s">
        <v>79</v>
      </c>
      <c r="B75" s="29"/>
      <c r="C75" s="30"/>
      <c r="D75" s="31" t="s">
        <v>12</v>
      </c>
      <c r="E75" s="32">
        <v>15.783922894227763</v>
      </c>
      <c r="F75" s="33">
        <v>0</v>
      </c>
      <c r="G75" s="34">
        <v>15.783922894227763</v>
      </c>
      <c r="H75" s="63"/>
      <c r="I75" s="35">
        <v>0</v>
      </c>
      <c r="J75" s="35">
        <v>0</v>
      </c>
      <c r="K75" s="35">
        <v>0</v>
      </c>
      <c r="L75" s="34">
        <v>0</v>
      </c>
      <c r="M75" s="36"/>
      <c r="N75" s="35">
        <v>0</v>
      </c>
      <c r="O75" s="35">
        <v>20.362382855659909</v>
      </c>
      <c r="P75" s="35">
        <v>0</v>
      </c>
      <c r="Q75" s="34">
        <v>20.362382855659909</v>
      </c>
      <c r="S75" s="35">
        <v>0</v>
      </c>
      <c r="T75" s="35">
        <v>3.4099999999999997</v>
      </c>
      <c r="U75" s="35">
        <v>0</v>
      </c>
      <c r="V75" s="34">
        <v>3.4099999999999997</v>
      </c>
      <c r="X75" s="31">
        <v>0</v>
      </c>
      <c r="Y75" s="31">
        <v>39.55630574988767</v>
      </c>
      <c r="Z75" s="31">
        <v>0</v>
      </c>
      <c r="AA75" s="31">
        <v>39.55630574988767</v>
      </c>
      <c r="AB75" s="62">
        <f t="shared" si="1"/>
        <v>150.61137218526045</v>
      </c>
    </row>
    <row r="76" spans="1:28" x14ac:dyDescent="0.25">
      <c r="A76" s="28" t="s">
        <v>80</v>
      </c>
      <c r="B76" s="29"/>
      <c r="C76" s="30"/>
      <c r="D76" s="31" t="s">
        <v>12</v>
      </c>
      <c r="E76" s="32">
        <v>16.236095852059954</v>
      </c>
      <c r="F76" s="33">
        <v>0</v>
      </c>
      <c r="G76" s="34">
        <v>16.236095852059954</v>
      </c>
      <c r="H76" s="63"/>
      <c r="I76" s="35">
        <v>0</v>
      </c>
      <c r="J76" s="35">
        <v>0</v>
      </c>
      <c r="K76" s="35">
        <v>0</v>
      </c>
      <c r="L76" s="34">
        <v>0</v>
      </c>
      <c r="M76" s="36"/>
      <c r="N76" s="35">
        <v>0</v>
      </c>
      <c r="O76" s="35">
        <v>10.269655637360543</v>
      </c>
      <c r="P76" s="35">
        <v>0</v>
      </c>
      <c r="Q76" s="34">
        <v>10.269655637360543</v>
      </c>
      <c r="S76" s="35">
        <v>0</v>
      </c>
      <c r="T76" s="35">
        <v>0</v>
      </c>
      <c r="U76" s="35">
        <v>0</v>
      </c>
      <c r="V76" s="34">
        <v>0</v>
      </c>
      <c r="X76" s="31">
        <v>0</v>
      </c>
      <c r="Y76" s="31">
        <v>26.505751489420497</v>
      </c>
      <c r="Z76" s="31">
        <v>0</v>
      </c>
      <c r="AA76" s="31">
        <v>26.505751489420497</v>
      </c>
      <c r="AB76" s="62">
        <f t="shared" si="1"/>
        <v>63.252001780080519</v>
      </c>
    </row>
    <row r="77" spans="1:28" x14ac:dyDescent="0.25">
      <c r="A77" s="28" t="s">
        <v>81</v>
      </c>
      <c r="B77" s="29" t="s">
        <v>11</v>
      </c>
      <c r="C77" s="30"/>
      <c r="D77" s="31" t="s">
        <v>12</v>
      </c>
      <c r="E77" s="32">
        <v>16.289638260235098</v>
      </c>
      <c r="F77" s="33">
        <v>4.207599447337401</v>
      </c>
      <c r="G77" s="34">
        <v>20.497237707572499</v>
      </c>
      <c r="H77" s="63"/>
      <c r="I77" s="35">
        <v>0</v>
      </c>
      <c r="J77" s="35">
        <v>0</v>
      </c>
      <c r="K77" s="35">
        <v>0</v>
      </c>
      <c r="L77" s="34">
        <v>0</v>
      </c>
      <c r="M77" s="36"/>
      <c r="N77" s="35">
        <v>0</v>
      </c>
      <c r="O77" s="35">
        <v>51.660569652916109</v>
      </c>
      <c r="P77" s="35">
        <v>16.142554721357396</v>
      </c>
      <c r="Q77" s="34">
        <v>67.803124374273509</v>
      </c>
      <c r="S77" s="35">
        <v>0</v>
      </c>
      <c r="T77" s="35">
        <v>0</v>
      </c>
      <c r="U77" s="35">
        <v>0</v>
      </c>
      <c r="V77" s="34">
        <v>0</v>
      </c>
      <c r="X77" s="31">
        <v>0</v>
      </c>
      <c r="Y77" s="31">
        <v>67.950207913151203</v>
      </c>
      <c r="Z77" s="31">
        <v>20.350154168694797</v>
      </c>
      <c r="AA77" s="31">
        <v>88.300362081846004</v>
      </c>
      <c r="AB77" s="62">
        <f t="shared" si="1"/>
        <v>330.79152099223751</v>
      </c>
    </row>
    <row r="78" spans="1:28" x14ac:dyDescent="0.25">
      <c r="A78" s="28" t="s">
        <v>82</v>
      </c>
      <c r="B78" s="29" t="s">
        <v>203</v>
      </c>
      <c r="C78" s="30"/>
      <c r="D78" s="31">
        <v>63.873748778930526</v>
      </c>
      <c r="E78" s="32">
        <v>0</v>
      </c>
      <c r="F78" s="33">
        <v>0</v>
      </c>
      <c r="G78" s="34">
        <v>63.873748778930526</v>
      </c>
      <c r="H78" s="63"/>
      <c r="I78" s="35">
        <v>0</v>
      </c>
      <c r="J78" s="35">
        <v>0</v>
      </c>
      <c r="K78" s="35">
        <v>0</v>
      </c>
      <c r="L78" s="34">
        <v>0</v>
      </c>
      <c r="M78" s="36"/>
      <c r="N78" s="35">
        <v>-8.9924292325836905</v>
      </c>
      <c r="O78" s="35">
        <v>0</v>
      </c>
      <c r="P78" s="35">
        <v>0</v>
      </c>
      <c r="Q78" s="34">
        <v>-8.9924292325836905</v>
      </c>
      <c r="S78" s="35">
        <v>53.844674073653202</v>
      </c>
      <c r="T78" s="35">
        <v>0</v>
      </c>
      <c r="U78" s="35">
        <v>0</v>
      </c>
      <c r="V78" s="34">
        <v>53.844674073653202</v>
      </c>
      <c r="X78" s="31">
        <v>108.72599362000004</v>
      </c>
      <c r="Y78" s="31">
        <v>0</v>
      </c>
      <c r="Z78" s="31">
        <v>0</v>
      </c>
      <c r="AA78" s="31">
        <v>108.72599362000004</v>
      </c>
      <c r="AB78" s="62">
        <f t="shared" si="1"/>
        <v>70.220154129836402</v>
      </c>
    </row>
    <row r="79" spans="1:28" x14ac:dyDescent="0.25">
      <c r="A79" s="28" t="s">
        <v>83</v>
      </c>
      <c r="B79" s="29" t="s">
        <v>11</v>
      </c>
      <c r="C79" s="30"/>
      <c r="D79" s="31" t="s">
        <v>12</v>
      </c>
      <c r="E79" s="32">
        <v>64.95889934581129</v>
      </c>
      <c r="F79" s="33">
        <v>16.778827412901482</v>
      </c>
      <c r="G79" s="34">
        <v>81.737726758712768</v>
      </c>
      <c r="H79" s="63"/>
      <c r="I79" s="35">
        <v>0</v>
      </c>
      <c r="J79" s="35">
        <v>0</v>
      </c>
      <c r="K79" s="35">
        <v>0</v>
      </c>
      <c r="L79" s="34">
        <v>0</v>
      </c>
      <c r="M79" s="36"/>
      <c r="N79" s="35">
        <v>0</v>
      </c>
      <c r="O79" s="35">
        <v>118.73115769774951</v>
      </c>
      <c r="P79" s="35">
        <v>46.443081680038112</v>
      </c>
      <c r="Q79" s="34">
        <v>165.17423937778759</v>
      </c>
      <c r="S79" s="35">
        <v>0</v>
      </c>
      <c r="T79" s="35">
        <v>1.4253643772395839</v>
      </c>
      <c r="U79" s="35">
        <v>0.36817038353564624</v>
      </c>
      <c r="V79" s="34">
        <v>1.7935347607752301</v>
      </c>
      <c r="X79" s="31">
        <v>0</v>
      </c>
      <c r="Y79" s="31">
        <v>185.11542142080037</v>
      </c>
      <c r="Z79" s="31">
        <v>63.590079476475246</v>
      </c>
      <c r="AA79" s="31">
        <v>248.70550089727558</v>
      </c>
      <c r="AB79" s="62">
        <f t="shared" si="1"/>
        <v>204.27259328051355</v>
      </c>
    </row>
    <row r="80" spans="1:28" x14ac:dyDescent="0.25">
      <c r="A80" s="28" t="s">
        <v>84</v>
      </c>
      <c r="B80" s="29" t="s">
        <v>205</v>
      </c>
      <c r="C80" s="30"/>
      <c r="D80" s="31" t="s">
        <v>12</v>
      </c>
      <c r="E80" s="32">
        <v>44.743574148225164</v>
      </c>
      <c r="F80" s="33">
        <v>11.557226431328692</v>
      </c>
      <c r="G80" s="34">
        <v>56.300800579553858</v>
      </c>
      <c r="H80" s="63"/>
      <c r="I80" s="35">
        <v>0</v>
      </c>
      <c r="J80" s="35">
        <v>0</v>
      </c>
      <c r="K80" s="35">
        <v>-5.6300800579553858</v>
      </c>
      <c r="L80" s="34">
        <v>-5.6300800579553858</v>
      </c>
      <c r="M80" s="36"/>
      <c r="N80" s="35">
        <v>0</v>
      </c>
      <c r="O80" s="35">
        <v>-43.364993784099624</v>
      </c>
      <c r="P80" s="35">
        <v>-7.8636579196926357</v>
      </c>
      <c r="Q80" s="34">
        <v>-51.228651703792259</v>
      </c>
      <c r="S80" s="35">
        <v>0</v>
      </c>
      <c r="T80" s="35">
        <v>0</v>
      </c>
      <c r="U80" s="35">
        <v>0</v>
      </c>
      <c r="V80" s="34">
        <v>0</v>
      </c>
      <c r="X80" s="31">
        <v>0</v>
      </c>
      <c r="Y80" s="31">
        <v>1.3785803641255399</v>
      </c>
      <c r="Z80" s="31">
        <v>-1.9365115463193296</v>
      </c>
      <c r="AA80" s="31">
        <v>-0.55793118219379068</v>
      </c>
      <c r="AB80" s="62">
        <f t="shared" si="1"/>
        <v>-100.99098267955431</v>
      </c>
    </row>
    <row r="81" spans="1:28" x14ac:dyDescent="0.25">
      <c r="A81" s="28" t="s">
        <v>85</v>
      </c>
      <c r="B81" s="29"/>
      <c r="C81" s="30"/>
      <c r="D81" s="31" t="s">
        <v>12</v>
      </c>
      <c r="E81" s="32">
        <v>17.112465899594575</v>
      </c>
      <c r="F81" s="33">
        <v>0</v>
      </c>
      <c r="G81" s="34">
        <v>17.112465899594575</v>
      </c>
      <c r="H81" s="63"/>
      <c r="I81" s="35">
        <v>0</v>
      </c>
      <c r="J81" s="35">
        <v>0</v>
      </c>
      <c r="K81" s="35">
        <v>0</v>
      </c>
      <c r="L81" s="34">
        <v>0</v>
      </c>
      <c r="M81" s="36"/>
      <c r="N81" s="35">
        <v>0</v>
      </c>
      <c r="O81" s="35">
        <v>3.7147330263578073</v>
      </c>
      <c r="P81" s="35">
        <v>0</v>
      </c>
      <c r="Q81" s="34">
        <v>3.7147330263578073</v>
      </c>
      <c r="S81" s="35">
        <v>0</v>
      </c>
      <c r="T81" s="35">
        <v>2.5718448462498098</v>
      </c>
      <c r="U81" s="35">
        <v>0</v>
      </c>
      <c r="V81" s="34">
        <v>2.5718448462498098</v>
      </c>
      <c r="X81" s="31">
        <v>0</v>
      </c>
      <c r="Y81" s="31">
        <v>23.399043772202191</v>
      </c>
      <c r="Z81" s="31">
        <v>0</v>
      </c>
      <c r="AA81" s="31">
        <v>23.399043772202191</v>
      </c>
      <c r="AB81" s="62">
        <f t="shared" si="1"/>
        <v>36.736832140343722</v>
      </c>
    </row>
    <row r="82" spans="1:28" x14ac:dyDescent="0.25">
      <c r="A82" s="71" t="s">
        <v>86</v>
      </c>
      <c r="B82" s="29"/>
      <c r="C82" s="30"/>
      <c r="D82" s="31" t="s">
        <v>12</v>
      </c>
      <c r="E82" s="32">
        <v>16.134926543661088</v>
      </c>
      <c r="F82" s="33">
        <v>0</v>
      </c>
      <c r="G82" s="34">
        <v>16.134926543661088</v>
      </c>
      <c r="H82" s="63"/>
      <c r="I82" s="35">
        <v>0</v>
      </c>
      <c r="J82" s="35">
        <v>0</v>
      </c>
      <c r="K82" s="35">
        <v>0</v>
      </c>
      <c r="L82" s="34">
        <v>0</v>
      </c>
      <c r="M82" s="36"/>
      <c r="N82" s="35">
        <v>0</v>
      </c>
      <c r="O82" s="35">
        <v>22.421492049931512</v>
      </c>
      <c r="P82" s="35">
        <v>0</v>
      </c>
      <c r="Q82" s="34">
        <v>22.421492049931512</v>
      </c>
      <c r="S82" s="35">
        <v>0</v>
      </c>
      <c r="T82" s="35">
        <v>-14.527583073592609</v>
      </c>
      <c r="U82" s="35">
        <v>0</v>
      </c>
      <c r="V82" s="34">
        <v>-14.527583073592609</v>
      </c>
      <c r="X82" s="31">
        <v>0</v>
      </c>
      <c r="Y82" s="31">
        <v>24.028835519999987</v>
      </c>
      <c r="Z82" s="31">
        <v>0</v>
      </c>
      <c r="AA82" s="31">
        <v>24.028835519999987</v>
      </c>
      <c r="AB82" s="62">
        <f t="shared" si="1"/>
        <v>48.924356457266725</v>
      </c>
    </row>
    <row r="83" spans="1:28" x14ac:dyDescent="0.25">
      <c r="A83" s="71" t="s">
        <v>87</v>
      </c>
      <c r="B83" s="29" t="s">
        <v>17</v>
      </c>
      <c r="C83" s="30"/>
      <c r="D83" s="74">
        <v>0</v>
      </c>
      <c r="E83" s="75">
        <v>16.996590182407299</v>
      </c>
      <c r="F83" s="74">
        <v>0</v>
      </c>
      <c r="G83" s="36">
        <v>16.996590182407299</v>
      </c>
      <c r="H83" s="63"/>
      <c r="I83" s="35">
        <v>0</v>
      </c>
      <c r="J83" s="35">
        <v>0</v>
      </c>
      <c r="K83" s="35">
        <v>0</v>
      </c>
      <c r="L83" s="34">
        <v>0</v>
      </c>
      <c r="M83" s="36"/>
      <c r="N83" s="35">
        <v>0</v>
      </c>
      <c r="O83" s="35">
        <v>0</v>
      </c>
      <c r="P83" s="35">
        <v>0</v>
      </c>
      <c r="Q83" s="35">
        <v>0</v>
      </c>
      <c r="S83" s="35">
        <v>0</v>
      </c>
      <c r="T83" s="35">
        <v>0</v>
      </c>
      <c r="U83" s="35">
        <v>0</v>
      </c>
      <c r="V83" s="35">
        <v>0</v>
      </c>
      <c r="X83" s="31">
        <v>0</v>
      </c>
      <c r="Y83" s="31">
        <v>16.996590182407299</v>
      </c>
      <c r="Z83" s="31">
        <v>0</v>
      </c>
      <c r="AA83" s="31">
        <v>16.996590182407299</v>
      </c>
      <c r="AB83" s="62">
        <f t="shared" si="1"/>
        <v>0</v>
      </c>
    </row>
    <row r="84" spans="1:28" x14ac:dyDescent="0.25">
      <c r="A84" s="41" t="s">
        <v>34</v>
      </c>
      <c r="B84" s="54"/>
      <c r="C84" s="64"/>
      <c r="D84" s="65">
        <v>63.873748778930526</v>
      </c>
      <c r="E84" s="65">
        <v>222.17377218290173</v>
      </c>
      <c r="F84" s="65">
        <v>36.138572565991652</v>
      </c>
      <c r="G84" s="65">
        <v>322.18609352782391</v>
      </c>
      <c r="I84" s="65">
        <v>0</v>
      </c>
      <c r="J84" s="65">
        <v>0</v>
      </c>
      <c r="K84" s="65">
        <v>-5.6300800579553858</v>
      </c>
      <c r="L84" s="65">
        <v>-5.6300800579553858</v>
      </c>
      <c r="M84" s="66"/>
      <c r="N84" s="65">
        <v>-8.9924292325836905</v>
      </c>
      <c r="O84" s="65">
        <v>183.79499713587578</v>
      </c>
      <c r="P84" s="65">
        <v>54.72197848170287</v>
      </c>
      <c r="Q84" s="65">
        <v>229.52454638499492</v>
      </c>
      <c r="S84" s="65">
        <v>53.844674073653202</v>
      </c>
      <c r="T84" s="65">
        <v>-7.1203738501032152</v>
      </c>
      <c r="U84" s="65">
        <v>0.36817038353564624</v>
      </c>
      <c r="V84" s="65">
        <v>47.09247060708563</v>
      </c>
      <c r="X84" s="65">
        <v>108.72599362000004</v>
      </c>
      <c r="Y84" s="65">
        <v>398.84839546867425</v>
      </c>
      <c r="Z84" s="65">
        <v>85.598641373274788</v>
      </c>
      <c r="AA84" s="65">
        <v>593.17303046194911</v>
      </c>
      <c r="AB84" s="62">
        <f t="shared" si="1"/>
        <v>84.10882479964107</v>
      </c>
    </row>
    <row r="85" spans="1:28" ht="17.399999999999999" x14ac:dyDescent="0.3">
      <c r="A85" s="25" t="s">
        <v>88</v>
      </c>
      <c r="B85" s="58"/>
      <c r="C85" s="59"/>
      <c r="D85" s="68"/>
      <c r="E85" s="68"/>
      <c r="F85" s="68"/>
      <c r="G85" s="47"/>
      <c r="I85" s="69"/>
      <c r="J85" s="69"/>
      <c r="K85" s="69"/>
      <c r="L85" s="69"/>
      <c r="M85" s="70"/>
      <c r="N85" s="68"/>
      <c r="O85" s="68"/>
      <c r="P85" s="68"/>
      <c r="Q85" s="68"/>
      <c r="S85" s="68"/>
      <c r="T85" s="68"/>
      <c r="U85" s="68"/>
      <c r="V85" s="34"/>
      <c r="X85" s="68"/>
      <c r="Y85" s="68"/>
      <c r="Z85" s="68"/>
      <c r="AA85" s="68"/>
      <c r="AB85" s="62" t="e">
        <f t="shared" si="1"/>
        <v>#DIV/0!</v>
      </c>
    </row>
    <row r="86" spans="1:28" x14ac:dyDescent="0.25">
      <c r="A86" s="28" t="s">
        <v>89</v>
      </c>
      <c r="B86" s="29" t="s">
        <v>103</v>
      </c>
      <c r="C86" s="30"/>
      <c r="D86" s="31">
        <v>23.950069878795865</v>
      </c>
      <c r="E86" s="32" t="s">
        <v>12</v>
      </c>
      <c r="F86" s="33">
        <v>0</v>
      </c>
      <c r="G86" s="34">
        <v>23.950069878795865</v>
      </c>
      <c r="H86" s="63"/>
      <c r="I86" s="35">
        <v>-4.7900139757591731</v>
      </c>
      <c r="J86" s="35">
        <v>0</v>
      </c>
      <c r="K86" s="35">
        <v>0</v>
      </c>
      <c r="L86" s="34">
        <v>-4.7900139757591731</v>
      </c>
      <c r="M86" s="36"/>
      <c r="N86" s="35">
        <v>26.800752882595091</v>
      </c>
      <c r="O86" s="35">
        <v>0</v>
      </c>
      <c r="P86" s="35">
        <v>0</v>
      </c>
      <c r="Q86" s="34">
        <v>26.800752882595091</v>
      </c>
      <c r="S86" s="35">
        <v>-0.1913394375505888</v>
      </c>
      <c r="T86" s="35">
        <v>0</v>
      </c>
      <c r="U86" s="35">
        <v>0</v>
      </c>
      <c r="V86" s="34">
        <v>-0.1913394375505888</v>
      </c>
      <c r="X86" s="31">
        <v>45.769469348081195</v>
      </c>
      <c r="Y86" s="31">
        <v>0</v>
      </c>
      <c r="Z86" s="31">
        <v>0</v>
      </c>
      <c r="AA86" s="31">
        <v>45.769469348081195</v>
      </c>
      <c r="AB86" s="62">
        <f t="shared" si="1"/>
        <v>91.103698568341457</v>
      </c>
    </row>
    <row r="87" spans="1:28" x14ac:dyDescent="0.25">
      <c r="A87" s="28" t="s">
        <v>90</v>
      </c>
      <c r="B87" s="29" t="s">
        <v>105</v>
      </c>
      <c r="C87" s="30"/>
      <c r="D87" s="31">
        <v>107.7</v>
      </c>
      <c r="E87" s="32">
        <v>0</v>
      </c>
      <c r="F87" s="33">
        <v>0</v>
      </c>
      <c r="G87" s="34">
        <v>107.7</v>
      </c>
      <c r="H87" s="63"/>
      <c r="I87" s="35">
        <v>0</v>
      </c>
      <c r="J87" s="35">
        <v>0</v>
      </c>
      <c r="K87" s="35">
        <v>0</v>
      </c>
      <c r="L87" s="34">
        <v>0</v>
      </c>
      <c r="M87" s="36"/>
      <c r="N87" s="35">
        <v>0</v>
      </c>
      <c r="O87" s="35">
        <v>0</v>
      </c>
      <c r="P87" s="35">
        <v>0</v>
      </c>
      <c r="Q87" s="34">
        <v>0</v>
      </c>
      <c r="S87" s="35">
        <v>0</v>
      </c>
      <c r="T87" s="35">
        <v>0</v>
      </c>
      <c r="U87" s="35">
        <v>0</v>
      </c>
      <c r="V87" s="34">
        <v>0</v>
      </c>
      <c r="X87" s="31">
        <v>107.7</v>
      </c>
      <c r="Y87" s="31">
        <v>0</v>
      </c>
      <c r="Z87" s="31">
        <v>0</v>
      </c>
      <c r="AA87" s="31">
        <v>107.7</v>
      </c>
      <c r="AB87" s="62">
        <f t="shared" si="1"/>
        <v>0</v>
      </c>
    </row>
    <row r="88" spans="1:28" x14ac:dyDescent="0.25">
      <c r="A88" s="28" t="s">
        <v>91</v>
      </c>
      <c r="B88" s="52" t="s">
        <v>26</v>
      </c>
      <c r="C88" s="30"/>
      <c r="D88" s="31">
        <v>130.50877683579671</v>
      </c>
      <c r="E88" s="32" t="s">
        <v>12</v>
      </c>
      <c r="F88" s="33">
        <v>0</v>
      </c>
      <c r="G88" s="34">
        <v>130.50877683579671</v>
      </c>
      <c r="H88" s="63"/>
      <c r="I88" s="35">
        <v>0</v>
      </c>
      <c r="J88" s="35">
        <v>0</v>
      </c>
      <c r="K88" s="35">
        <v>0</v>
      </c>
      <c r="L88" s="34">
        <v>0</v>
      </c>
      <c r="M88" s="36"/>
      <c r="N88" s="35">
        <v>-100.64613431386312</v>
      </c>
      <c r="O88" s="35">
        <v>0</v>
      </c>
      <c r="P88" s="35">
        <v>0</v>
      </c>
      <c r="Q88" s="34">
        <v>-100.64613431386312</v>
      </c>
      <c r="S88" s="35">
        <v>61.6026289331705</v>
      </c>
      <c r="T88" s="35">
        <v>0</v>
      </c>
      <c r="U88" s="35">
        <v>0</v>
      </c>
      <c r="V88" s="34">
        <v>61.6026289331705</v>
      </c>
      <c r="X88" s="31">
        <v>91.465271455104102</v>
      </c>
      <c r="Y88" s="31">
        <v>0</v>
      </c>
      <c r="Z88" s="31">
        <v>0</v>
      </c>
      <c r="AA88" s="31">
        <v>91.465271455104102</v>
      </c>
      <c r="AB88" s="62">
        <f t="shared" si="1"/>
        <v>-29.91638288803847</v>
      </c>
    </row>
    <row r="89" spans="1:28" x14ac:dyDescent="0.25">
      <c r="A89" s="41" t="s">
        <v>34</v>
      </c>
      <c r="B89" s="73"/>
      <c r="C89" s="64"/>
      <c r="D89" s="65">
        <v>262.15884671459258</v>
      </c>
      <c r="E89" s="65">
        <v>0</v>
      </c>
      <c r="F89" s="65">
        <v>0</v>
      </c>
      <c r="G89" s="65">
        <v>262.15884671459258</v>
      </c>
      <c r="I89" s="65">
        <v>-4.7900139757591731</v>
      </c>
      <c r="J89" s="65">
        <v>0</v>
      </c>
      <c r="K89" s="65">
        <v>0</v>
      </c>
      <c r="L89" s="65">
        <v>-4.7900139757591731</v>
      </c>
      <c r="M89" s="66"/>
      <c r="N89" s="65">
        <v>-73.845381431268024</v>
      </c>
      <c r="O89" s="65">
        <v>0</v>
      </c>
      <c r="P89" s="65">
        <v>0</v>
      </c>
      <c r="Q89" s="65">
        <v>-73.845381431268024</v>
      </c>
      <c r="S89" s="65">
        <v>61.411289495619911</v>
      </c>
      <c r="T89" s="65">
        <v>0</v>
      </c>
      <c r="U89" s="65">
        <v>0</v>
      </c>
      <c r="V89" s="65">
        <v>61.411289495619911</v>
      </c>
      <c r="X89" s="65">
        <v>244.93474080318529</v>
      </c>
      <c r="Y89" s="65">
        <v>0</v>
      </c>
      <c r="Z89" s="65">
        <v>0</v>
      </c>
      <c r="AA89" s="65">
        <v>244.93474080318529</v>
      </c>
      <c r="AB89" s="62">
        <f t="shared" si="1"/>
        <v>-6.5701028697913273</v>
      </c>
    </row>
    <row r="90" spans="1:28" ht="17.399999999999999" x14ac:dyDescent="0.3">
      <c r="A90" s="25" t="s">
        <v>92</v>
      </c>
      <c r="B90" s="58"/>
      <c r="C90" s="59"/>
      <c r="D90" s="59"/>
      <c r="E90" s="59"/>
      <c r="F90" s="59"/>
      <c r="G90" s="47"/>
      <c r="I90" s="69"/>
      <c r="J90" s="69"/>
      <c r="K90" s="69"/>
      <c r="L90" s="69"/>
      <c r="M90" s="70"/>
      <c r="N90" s="59"/>
      <c r="O90" s="59"/>
      <c r="P90" s="59"/>
      <c r="Q90" s="59"/>
      <c r="S90" s="59"/>
      <c r="T90" s="59"/>
      <c r="U90" s="59"/>
      <c r="V90" s="59"/>
      <c r="X90" s="59"/>
      <c r="Y90" s="59"/>
      <c r="Z90" s="59"/>
      <c r="AA90" s="59"/>
      <c r="AB90" s="62" t="e">
        <f t="shared" si="1"/>
        <v>#DIV/0!</v>
      </c>
    </row>
    <row r="91" spans="1:28" x14ac:dyDescent="0.25">
      <c r="A91" s="28" t="s">
        <v>93</v>
      </c>
      <c r="B91" s="29"/>
      <c r="C91" s="30"/>
      <c r="D91" s="31">
        <v>80.863329273817314</v>
      </c>
      <c r="E91" s="32" t="s">
        <v>12</v>
      </c>
      <c r="F91" s="33">
        <v>0</v>
      </c>
      <c r="G91" s="34">
        <v>80.863329273817314</v>
      </c>
      <c r="H91" s="63"/>
      <c r="I91" s="35">
        <v>0</v>
      </c>
      <c r="J91" s="35">
        <v>0</v>
      </c>
      <c r="K91" s="35">
        <v>0</v>
      </c>
      <c r="L91" s="34">
        <v>0</v>
      </c>
      <c r="M91" s="36"/>
      <c r="N91" s="35">
        <v>102.1131450634051</v>
      </c>
      <c r="O91" s="35">
        <v>0</v>
      </c>
      <c r="P91" s="35">
        <v>0</v>
      </c>
      <c r="Q91" s="34">
        <v>102.1131450634051</v>
      </c>
      <c r="S91" s="35">
        <v>3.3</v>
      </c>
      <c r="T91" s="35">
        <v>0</v>
      </c>
      <c r="U91" s="35">
        <v>0</v>
      </c>
      <c r="V91" s="34">
        <v>3.3</v>
      </c>
      <c r="X91" s="31">
        <v>186.27647433722242</v>
      </c>
      <c r="Y91" s="31">
        <v>0</v>
      </c>
      <c r="Z91" s="31">
        <v>0</v>
      </c>
      <c r="AA91" s="31">
        <v>186.27647433722242</v>
      </c>
      <c r="AB91" s="62">
        <f t="shared" si="1"/>
        <v>130.35964016081732</v>
      </c>
    </row>
    <row r="92" spans="1:28" x14ac:dyDescent="0.25">
      <c r="A92" s="28" t="s">
        <v>94</v>
      </c>
      <c r="B92" s="29" t="s">
        <v>11</v>
      </c>
      <c r="C92" s="30"/>
      <c r="D92" s="31" t="s">
        <v>12</v>
      </c>
      <c r="E92" s="32">
        <v>850.06233285021312</v>
      </c>
      <c r="F92" s="33">
        <v>219.57036398003339</v>
      </c>
      <c r="G92" s="34">
        <v>1069.6326968302465</v>
      </c>
      <c r="H92" s="63"/>
      <c r="I92" s="35">
        <v>0</v>
      </c>
      <c r="J92" s="35">
        <v>0</v>
      </c>
      <c r="K92" s="35">
        <v>0</v>
      </c>
      <c r="L92" s="34">
        <v>0</v>
      </c>
      <c r="M92" s="36"/>
      <c r="N92" s="35">
        <v>0</v>
      </c>
      <c r="O92" s="35">
        <v>-547.95009741002968</v>
      </c>
      <c r="P92" s="35">
        <v>70.660683437414434</v>
      </c>
      <c r="Q92" s="34">
        <v>-477.28941397261525</v>
      </c>
      <c r="S92" s="35">
        <v>0</v>
      </c>
      <c r="T92" s="35">
        <v>0</v>
      </c>
      <c r="U92" s="35">
        <v>0</v>
      </c>
      <c r="V92" s="34">
        <v>0</v>
      </c>
      <c r="X92" s="31">
        <v>0</v>
      </c>
      <c r="Y92" s="31">
        <v>302.11223544018344</v>
      </c>
      <c r="Z92" s="31">
        <v>290.23104741744783</v>
      </c>
      <c r="AA92" s="31">
        <v>592.34328285763127</v>
      </c>
      <c r="AB92" s="62">
        <f t="shared" si="1"/>
        <v>-44.621804792151224</v>
      </c>
    </row>
    <row r="93" spans="1:28" x14ac:dyDescent="0.25">
      <c r="A93" s="28" t="s">
        <v>95</v>
      </c>
      <c r="B93" s="29"/>
      <c r="C93" s="30"/>
      <c r="D93" s="31">
        <v>13.08301535804015</v>
      </c>
      <c r="E93" s="32">
        <v>10.397380884978471</v>
      </c>
      <c r="F93" s="33">
        <v>2.6856344730616799</v>
      </c>
      <c r="G93" s="34">
        <v>26.1660307160803</v>
      </c>
      <c r="H93" s="63"/>
      <c r="I93" s="35">
        <v>0</v>
      </c>
      <c r="J93" s="35">
        <v>0</v>
      </c>
      <c r="K93" s="35">
        <v>0</v>
      </c>
      <c r="L93" s="34">
        <v>0</v>
      </c>
      <c r="M93" s="36"/>
      <c r="N93" s="35">
        <v>0</v>
      </c>
      <c r="O93" s="35">
        <v>15.190261281006693</v>
      </c>
      <c r="P93" s="35">
        <v>4.6120500720235702</v>
      </c>
      <c r="Q93" s="34">
        <v>19.802311353030266</v>
      </c>
      <c r="S93" s="35">
        <v>11.4</v>
      </c>
      <c r="T93" s="35">
        <v>9.059848883836402</v>
      </c>
      <c r="U93" s="35">
        <v>2.3401511161635979</v>
      </c>
      <c r="V93" s="34">
        <v>22.8</v>
      </c>
      <c r="X93" s="31">
        <v>24.483015358040149</v>
      </c>
      <c r="Y93" s="31">
        <v>34.647491049821568</v>
      </c>
      <c r="Z93" s="31">
        <v>9.6378356612488485</v>
      </c>
      <c r="AA93" s="31">
        <v>68.76834206911056</v>
      </c>
      <c r="AB93" s="62">
        <f t="shared" si="1"/>
        <v>162.81533800558088</v>
      </c>
    </row>
    <row r="94" spans="1:28" x14ac:dyDescent="0.25">
      <c r="A94" s="28" t="s">
        <v>96</v>
      </c>
      <c r="B94" s="29" t="s">
        <v>103</v>
      </c>
      <c r="C94" s="30"/>
      <c r="D94" s="31">
        <v>0</v>
      </c>
      <c r="E94" s="32">
        <v>18.464287430521384</v>
      </c>
      <c r="F94" s="33">
        <v>0</v>
      </c>
      <c r="G94" s="34">
        <v>18.464287430521384</v>
      </c>
      <c r="H94" s="63"/>
      <c r="I94" s="35">
        <v>0</v>
      </c>
      <c r="J94" s="35">
        <v>0</v>
      </c>
      <c r="K94" s="35">
        <v>0</v>
      </c>
      <c r="L94" s="34">
        <v>0</v>
      </c>
      <c r="M94" s="36"/>
      <c r="N94" s="35">
        <v>-3.50937535486525</v>
      </c>
      <c r="O94" s="35">
        <v>18.735743010404182</v>
      </c>
      <c r="P94" s="35">
        <v>0</v>
      </c>
      <c r="Q94" s="34">
        <v>15.226367655538931</v>
      </c>
      <c r="S94" s="35">
        <v>0</v>
      </c>
      <c r="T94" s="35">
        <v>-33.690655086060396</v>
      </c>
      <c r="U94" s="35">
        <v>0</v>
      </c>
      <c r="V94" s="34">
        <v>-33.690655086060396</v>
      </c>
      <c r="X94" s="31">
        <v>-3.50937535486525</v>
      </c>
      <c r="Y94" s="31">
        <v>3.5093753548651705</v>
      </c>
      <c r="Z94" s="31">
        <v>0</v>
      </c>
      <c r="AA94" s="31">
        <v>-7.815970093361102E-14</v>
      </c>
      <c r="AB94" s="62">
        <f t="shared" si="1"/>
        <v>-100.00000000000043</v>
      </c>
    </row>
    <row r="95" spans="1:28" x14ac:dyDescent="0.25">
      <c r="A95" s="28" t="s">
        <v>97</v>
      </c>
      <c r="B95" s="76"/>
      <c r="C95" s="30"/>
      <c r="D95" s="31" t="s">
        <v>12</v>
      </c>
      <c r="E95" s="32">
        <v>193.66561369013286</v>
      </c>
      <c r="F95" s="33">
        <v>50.023660201224203</v>
      </c>
      <c r="G95" s="34">
        <v>243.68927389135706</v>
      </c>
      <c r="H95" s="63"/>
      <c r="I95" s="35">
        <v>0</v>
      </c>
      <c r="J95" s="35">
        <v>0</v>
      </c>
      <c r="K95" s="35">
        <v>0</v>
      </c>
      <c r="L95" s="34">
        <v>0</v>
      </c>
      <c r="M95" s="36"/>
      <c r="N95" s="35">
        <v>0</v>
      </c>
      <c r="O95" s="35">
        <v>85.692149482502401</v>
      </c>
      <c r="P95" s="35">
        <v>13.241996935982288</v>
      </c>
      <c r="Q95" s="34">
        <v>98.934146418484687</v>
      </c>
      <c r="S95" s="35">
        <v>0</v>
      </c>
      <c r="T95" s="35">
        <v>10.006090563878372</v>
      </c>
      <c r="U95" s="35">
        <v>2.5845645221820281</v>
      </c>
      <c r="V95" s="34">
        <v>12.5906550860604</v>
      </c>
      <c r="X95" s="31">
        <v>0</v>
      </c>
      <c r="Y95" s="31">
        <v>289.36385373651365</v>
      </c>
      <c r="Z95" s="31">
        <v>65.850221659388524</v>
      </c>
      <c r="AA95" s="31">
        <v>355.21407539590217</v>
      </c>
      <c r="AB95" s="62">
        <f t="shared" si="1"/>
        <v>45.765166321709245</v>
      </c>
    </row>
    <row r="96" spans="1:28" x14ac:dyDescent="0.25">
      <c r="A96" s="77" t="s">
        <v>98</v>
      </c>
      <c r="B96" s="29"/>
      <c r="C96" s="30"/>
      <c r="D96" s="31" t="s">
        <v>12</v>
      </c>
      <c r="E96" s="32">
        <v>814.77172039012044</v>
      </c>
      <c r="F96" s="33">
        <v>210.45482936157825</v>
      </c>
      <c r="G96" s="34">
        <v>1025.2265497516987</v>
      </c>
      <c r="H96" s="63"/>
      <c r="I96" s="35">
        <v>0</v>
      </c>
      <c r="J96" s="35">
        <v>0</v>
      </c>
      <c r="K96" s="35">
        <v>0</v>
      </c>
      <c r="L96" s="34">
        <v>0</v>
      </c>
      <c r="M96" s="36"/>
      <c r="N96" s="35">
        <v>0</v>
      </c>
      <c r="O96" s="35">
        <v>102.43979474031364</v>
      </c>
      <c r="P96" s="35">
        <v>-233.66180980970793</v>
      </c>
      <c r="Q96" s="34">
        <v>-131.22201506939436</v>
      </c>
      <c r="S96" s="35">
        <v>0</v>
      </c>
      <c r="T96" s="35">
        <v>0</v>
      </c>
      <c r="U96" s="35">
        <v>0</v>
      </c>
      <c r="V96" s="34">
        <v>0</v>
      </c>
      <c r="X96" s="31">
        <v>0</v>
      </c>
      <c r="Y96" s="31">
        <v>917.21151513043412</v>
      </c>
      <c r="Z96" s="31">
        <v>-23.206980448129684</v>
      </c>
      <c r="AA96" s="31">
        <v>894.00453468230432</v>
      </c>
      <c r="AB96" s="62">
        <f t="shared" si="1"/>
        <v>-12.799318853103756</v>
      </c>
    </row>
    <row r="97" spans="1:28" x14ac:dyDescent="0.25">
      <c r="A97" s="71" t="s">
        <v>99</v>
      </c>
      <c r="B97" s="78" t="s">
        <v>11</v>
      </c>
      <c r="C97" s="30"/>
      <c r="D97" s="31" t="s">
        <v>12</v>
      </c>
      <c r="E97" s="32">
        <v>160.04169708275199</v>
      </c>
      <c r="F97" s="33">
        <v>41.338631677300874</v>
      </c>
      <c r="G97" s="34">
        <v>201.38032876005286</v>
      </c>
      <c r="H97" s="63"/>
      <c r="I97" s="35">
        <v>0</v>
      </c>
      <c r="J97" s="35">
        <v>0</v>
      </c>
      <c r="K97" s="35">
        <v>0</v>
      </c>
      <c r="L97" s="34">
        <v>0</v>
      </c>
      <c r="M97" s="36"/>
      <c r="N97" s="35">
        <v>0</v>
      </c>
      <c r="O97" s="35">
        <v>66.195124522115208</v>
      </c>
      <c r="P97" s="35">
        <v>8.0049437200106528</v>
      </c>
      <c r="Q97" s="34">
        <v>74.200068242125866</v>
      </c>
      <c r="S97" s="35">
        <v>0</v>
      </c>
      <c r="T97" s="35">
        <v>-3.973617931507194</v>
      </c>
      <c r="U97" s="35">
        <v>-1.026382068492806</v>
      </c>
      <c r="V97" s="34">
        <v>-5</v>
      </c>
      <c r="X97" s="31">
        <v>0</v>
      </c>
      <c r="Y97" s="31">
        <v>222.26320367336001</v>
      </c>
      <c r="Z97" s="31">
        <v>48.317193328818718</v>
      </c>
      <c r="AA97" s="31">
        <v>270.58039700217876</v>
      </c>
      <c r="AB97" s="62">
        <f t="shared" si="1"/>
        <v>34.362873806099827</v>
      </c>
    </row>
    <row r="98" spans="1:28" x14ac:dyDescent="0.25">
      <c r="A98" s="41" t="s">
        <v>34</v>
      </c>
      <c r="B98" s="73"/>
      <c r="C98" s="64"/>
      <c r="D98" s="79">
        <v>93.946344631857471</v>
      </c>
      <c r="E98" s="79">
        <v>2047.4030323287184</v>
      </c>
      <c r="F98" s="79">
        <v>524.07311969319846</v>
      </c>
      <c r="G98" s="79">
        <v>2665.422496653774</v>
      </c>
      <c r="I98" s="79">
        <v>0</v>
      </c>
      <c r="J98" s="79">
        <v>0</v>
      </c>
      <c r="K98" s="79">
        <v>0</v>
      </c>
      <c r="L98" s="79">
        <v>0</v>
      </c>
      <c r="M98" s="46"/>
      <c r="N98" s="79">
        <v>98.603769708539843</v>
      </c>
      <c r="O98" s="79">
        <v>-259.69702437368755</v>
      </c>
      <c r="P98" s="79">
        <v>-137.142135644277</v>
      </c>
      <c r="Q98" s="79">
        <v>-298.2353903094247</v>
      </c>
      <c r="S98" s="79">
        <v>14.7</v>
      </c>
      <c r="T98" s="79">
        <v>-18.598333569852816</v>
      </c>
      <c r="U98" s="79">
        <v>3.8983335698528201</v>
      </c>
      <c r="V98" s="79">
        <v>0</v>
      </c>
      <c r="X98" s="79">
        <v>207.25011434039732</v>
      </c>
      <c r="Y98" s="79">
        <v>1769.1076743851779</v>
      </c>
      <c r="Z98" s="79">
        <v>390.82931761877421</v>
      </c>
      <c r="AA98" s="79">
        <v>2367.1871063443496</v>
      </c>
      <c r="AB98" s="62">
        <f t="shared" si="1"/>
        <v>-11.189047540636992</v>
      </c>
    </row>
    <row r="99" spans="1:28" x14ac:dyDescent="0.25">
      <c r="A99" s="80" t="s">
        <v>100</v>
      </c>
      <c r="B99" s="81"/>
      <c r="C99" s="82"/>
      <c r="D99" s="83">
        <v>3277.8755447347335</v>
      </c>
      <c r="E99" s="83">
        <v>9855.2253773010871</v>
      </c>
      <c r="F99" s="83">
        <v>1923.6639650741715</v>
      </c>
      <c r="G99" s="83">
        <v>15056.764887109992</v>
      </c>
      <c r="I99" s="83">
        <v>3.4088686662255903</v>
      </c>
      <c r="J99" s="83">
        <v>0</v>
      </c>
      <c r="K99" s="83">
        <v>-48.928949720190744</v>
      </c>
      <c r="L99" s="83">
        <v>-45.52008105396515</v>
      </c>
      <c r="N99" s="83">
        <v>-221.67932501826584</v>
      </c>
      <c r="O99" s="83">
        <v>-1268.7550419526774</v>
      </c>
      <c r="P99" s="83">
        <v>468.20123510999252</v>
      </c>
      <c r="Q99" s="83">
        <v>-1022.2331318609509</v>
      </c>
      <c r="S99" s="83">
        <v>887.19282620147987</v>
      </c>
      <c r="T99" s="83">
        <v>161.1572898623603</v>
      </c>
      <c r="U99" s="83">
        <v>62.95563306858412</v>
      </c>
      <c r="V99" s="83">
        <v>1111.3057491324239</v>
      </c>
      <c r="X99" s="83">
        <v>3946.7979145841732</v>
      </c>
      <c r="Y99" s="83">
        <v>8747.6276252107709</v>
      </c>
      <c r="Z99" s="83">
        <v>2405.8918835325576</v>
      </c>
      <c r="AA99" s="83">
        <v>15100.317423327502</v>
      </c>
      <c r="AB99" s="62">
        <f t="shared" si="1"/>
        <v>0.28925560400293193</v>
      </c>
    </row>
    <row r="100" spans="1:28" x14ac:dyDescent="0.25">
      <c r="D100" s="87"/>
      <c r="E100" s="87"/>
      <c r="F100" s="87"/>
      <c r="G100" s="150">
        <f>10000/G99</f>
        <v>0.66415329421534242</v>
      </c>
      <c r="K100" s="38"/>
      <c r="L100" s="38"/>
      <c r="P100" s="38"/>
      <c r="Q100" s="38"/>
      <c r="R100" s="38"/>
      <c r="X100" s="87"/>
      <c r="Y100" s="87"/>
      <c r="Z100" s="87"/>
      <c r="AA100" s="38"/>
    </row>
    <row r="101" spans="1:28" ht="43.5" customHeight="1" x14ac:dyDescent="0.25">
      <c r="A101" s="96" t="s">
        <v>115</v>
      </c>
      <c r="B101" s="96"/>
      <c r="C101" s="96"/>
      <c r="D101" s="96"/>
      <c r="E101" s="96"/>
      <c r="F101" s="96"/>
      <c r="G101" s="96"/>
      <c r="H101" s="96"/>
      <c r="I101" s="96"/>
      <c r="J101" s="96"/>
      <c r="K101" s="96"/>
      <c r="L101" s="96"/>
      <c r="M101" s="96"/>
      <c r="N101" s="96"/>
      <c r="O101" s="96"/>
      <c r="P101" s="96"/>
      <c r="Q101" s="96"/>
      <c r="R101" s="96"/>
      <c r="S101" s="84"/>
      <c r="T101" s="84"/>
      <c r="U101" s="85"/>
      <c r="V101" s="86"/>
      <c r="X101" s="63"/>
      <c r="Y101" s="63"/>
      <c r="Z101" s="63"/>
      <c r="AA101" s="63"/>
    </row>
    <row r="102" spans="1:28" ht="29.4" customHeight="1" x14ac:dyDescent="0.25">
      <c r="A102" s="96" t="s">
        <v>112</v>
      </c>
      <c r="B102" s="96"/>
      <c r="C102" s="96"/>
      <c r="D102" s="96"/>
      <c r="E102" s="96"/>
      <c r="F102" s="96"/>
      <c r="G102" s="96"/>
      <c r="H102" s="96"/>
      <c r="I102" s="96"/>
      <c r="J102" s="96"/>
      <c r="K102" s="96"/>
      <c r="L102" s="96"/>
      <c r="M102" s="96"/>
      <c r="N102" s="96"/>
      <c r="O102" s="96"/>
      <c r="P102" s="96"/>
      <c r="Q102" s="96"/>
      <c r="R102" s="96"/>
      <c r="S102" s="96"/>
      <c r="T102" s="96"/>
      <c r="U102" s="96"/>
      <c r="V102" s="96"/>
    </row>
    <row r="103" spans="1:28" ht="26.4" customHeight="1" x14ac:dyDescent="0.25">
      <c r="A103" s="96" t="s">
        <v>110</v>
      </c>
      <c r="B103" s="96"/>
      <c r="C103" s="96"/>
      <c r="D103" s="96"/>
      <c r="E103" s="96"/>
      <c r="F103" s="96"/>
      <c r="G103" s="96"/>
      <c r="H103" s="96"/>
      <c r="I103" s="96"/>
      <c r="J103" s="96"/>
      <c r="K103" s="96"/>
      <c r="L103" s="96"/>
      <c r="M103" s="96"/>
      <c r="N103" s="96"/>
      <c r="O103" s="96"/>
      <c r="P103" s="96"/>
      <c r="Q103" s="96"/>
      <c r="R103" s="96"/>
      <c r="S103" s="96"/>
      <c r="T103" s="96"/>
      <c r="U103" s="96"/>
      <c r="V103" s="96"/>
      <c r="AA103" s="62"/>
    </row>
    <row r="104" spans="1:28" ht="43.5" customHeight="1" x14ac:dyDescent="0.25">
      <c r="A104" s="96" t="s">
        <v>108</v>
      </c>
      <c r="B104" s="96"/>
      <c r="C104" s="96"/>
      <c r="D104" s="96"/>
      <c r="E104" s="96"/>
      <c r="F104" s="96"/>
      <c r="G104" s="96"/>
      <c r="H104" s="96"/>
      <c r="I104" s="96"/>
      <c r="J104" s="96"/>
      <c r="K104" s="96"/>
      <c r="L104" s="96"/>
      <c r="M104" s="96"/>
      <c r="N104" s="96"/>
      <c r="O104" s="96"/>
      <c r="P104" s="96"/>
      <c r="Q104" s="96"/>
      <c r="R104" s="96"/>
    </row>
    <row r="105" spans="1:28" ht="43.5" customHeight="1" x14ac:dyDescent="0.25">
      <c r="A105" s="96" t="s">
        <v>207</v>
      </c>
      <c r="B105" s="96"/>
      <c r="C105" s="96"/>
      <c r="D105" s="96"/>
      <c r="E105" s="96"/>
      <c r="F105" s="96"/>
      <c r="G105" s="96"/>
      <c r="H105" s="96"/>
      <c r="I105" s="96"/>
      <c r="J105" s="96"/>
      <c r="K105" s="96"/>
      <c r="L105" s="96"/>
      <c r="M105" s="96"/>
      <c r="N105" s="96"/>
      <c r="O105" s="96"/>
      <c r="P105" s="96"/>
      <c r="Q105" s="96"/>
      <c r="R105" s="96"/>
      <c r="S105" s="96"/>
      <c r="T105" s="96"/>
      <c r="U105" s="96"/>
      <c r="V105" s="96"/>
    </row>
    <row r="106" spans="1:28" ht="43.5" customHeight="1" x14ac:dyDescent="0.25">
      <c r="A106" s="96" t="s">
        <v>211</v>
      </c>
      <c r="B106" s="96"/>
      <c r="C106" s="96"/>
      <c r="D106" s="96"/>
      <c r="E106" s="96"/>
      <c r="F106" s="96"/>
      <c r="G106" s="96"/>
      <c r="H106" s="96"/>
      <c r="I106" s="96"/>
      <c r="J106" s="96"/>
      <c r="K106" s="96"/>
      <c r="L106" s="96"/>
      <c r="M106" s="96"/>
      <c r="N106" s="96"/>
      <c r="O106" s="96"/>
      <c r="P106" s="96"/>
      <c r="Q106" s="96"/>
      <c r="R106" s="96"/>
      <c r="S106" s="96"/>
      <c r="T106" s="96"/>
      <c r="U106" s="96"/>
      <c r="V106" s="96"/>
    </row>
    <row r="107" spans="1:28" ht="43.5" customHeight="1" x14ac:dyDescent="0.25">
      <c r="A107" s="96" t="s">
        <v>210</v>
      </c>
      <c r="B107" s="96"/>
      <c r="C107" s="96"/>
      <c r="D107" s="96"/>
      <c r="E107" s="96"/>
      <c r="F107" s="96"/>
      <c r="G107" s="96"/>
      <c r="H107" s="96"/>
      <c r="I107" s="96"/>
      <c r="J107" s="96"/>
      <c r="K107" s="96"/>
      <c r="L107" s="96"/>
      <c r="M107" s="96"/>
      <c r="N107" s="96"/>
      <c r="O107" s="96"/>
      <c r="P107" s="96"/>
      <c r="Q107" s="96"/>
      <c r="R107" s="96"/>
      <c r="S107" s="96"/>
      <c r="T107" s="96"/>
      <c r="U107" s="96"/>
      <c r="V107" s="96"/>
    </row>
    <row r="108" spans="1:28" ht="43.5" customHeight="1" x14ac:dyDescent="0.25">
      <c r="A108" s="96" t="s">
        <v>200</v>
      </c>
      <c r="B108" s="96"/>
      <c r="C108" s="96"/>
      <c r="D108" s="96"/>
      <c r="E108" s="96"/>
      <c r="F108" s="96"/>
      <c r="G108" s="96"/>
      <c r="H108" s="96"/>
      <c r="I108" s="96"/>
      <c r="J108" s="96"/>
      <c r="K108" s="96"/>
      <c r="L108" s="96"/>
      <c r="M108" s="96"/>
      <c r="N108" s="96"/>
      <c r="O108" s="96"/>
      <c r="P108" s="96"/>
      <c r="Q108" s="96"/>
      <c r="R108" s="96"/>
      <c r="S108" s="96"/>
      <c r="T108" s="96"/>
      <c r="U108" s="96"/>
      <c r="V108" s="96"/>
    </row>
    <row r="109" spans="1:28" ht="43.5" customHeight="1" x14ac:dyDescent="0.25">
      <c r="A109" s="96" t="s">
        <v>209</v>
      </c>
      <c r="B109" s="96"/>
      <c r="C109" s="96"/>
      <c r="D109" s="96"/>
      <c r="E109" s="96"/>
      <c r="F109" s="96"/>
      <c r="G109" s="96"/>
      <c r="H109" s="96"/>
      <c r="I109" s="96"/>
      <c r="J109" s="96"/>
      <c r="K109" s="96"/>
      <c r="L109" s="96"/>
      <c r="M109" s="96"/>
      <c r="N109" s="96"/>
      <c r="O109" s="96"/>
      <c r="P109" s="96"/>
      <c r="Q109" s="96"/>
      <c r="R109" s="96"/>
      <c r="S109" s="96"/>
      <c r="T109" s="96"/>
      <c r="U109" s="96"/>
      <c r="V109" s="96"/>
    </row>
    <row r="110" spans="1:28" ht="43.5" customHeight="1" x14ac:dyDescent="0.25">
      <c r="A110" s="99" t="s">
        <v>208</v>
      </c>
      <c r="B110" s="99"/>
      <c r="C110" s="99"/>
      <c r="D110" s="99"/>
      <c r="E110" s="99"/>
      <c r="F110" s="99"/>
      <c r="G110" s="99"/>
      <c r="H110" s="99"/>
      <c r="I110" s="99"/>
      <c r="J110" s="99"/>
      <c r="K110" s="99"/>
      <c r="L110" s="99"/>
      <c r="M110" s="99"/>
      <c r="N110" s="99"/>
      <c r="O110" s="99"/>
      <c r="P110" s="99"/>
      <c r="Q110" s="99"/>
      <c r="R110" s="99"/>
      <c r="S110" s="99"/>
      <c r="T110" s="99"/>
      <c r="U110" s="99"/>
      <c r="V110" s="99"/>
    </row>
    <row r="111" spans="1:28" ht="43.5" customHeight="1" x14ac:dyDescent="0.25">
      <c r="A111" s="99" t="s">
        <v>212</v>
      </c>
      <c r="B111" s="99"/>
      <c r="C111" s="99"/>
      <c r="D111" s="99"/>
      <c r="E111" s="99"/>
      <c r="F111" s="99"/>
      <c r="G111" s="99"/>
      <c r="H111" s="99"/>
      <c r="I111" s="99"/>
      <c r="J111" s="99"/>
      <c r="K111" s="99"/>
      <c r="L111" s="99"/>
      <c r="M111" s="99"/>
      <c r="N111" s="99"/>
      <c r="O111" s="99"/>
      <c r="P111" s="99"/>
      <c r="Q111" s="99"/>
      <c r="R111" s="99"/>
      <c r="S111" s="99"/>
      <c r="T111" s="99"/>
      <c r="U111" s="99"/>
      <c r="V111" s="99"/>
    </row>
    <row r="112" spans="1:28" ht="43.5" customHeight="1" x14ac:dyDescent="0.25">
      <c r="A112" s="99" t="s">
        <v>201</v>
      </c>
      <c r="B112" s="99"/>
      <c r="C112" s="99"/>
      <c r="D112" s="99"/>
      <c r="E112" s="99"/>
      <c r="F112" s="99"/>
      <c r="G112" s="99"/>
      <c r="H112" s="99"/>
      <c r="I112" s="99"/>
      <c r="J112" s="99"/>
      <c r="K112" s="99"/>
      <c r="L112" s="99"/>
      <c r="M112" s="99"/>
      <c r="N112" s="99"/>
      <c r="O112" s="99"/>
      <c r="P112" s="99"/>
      <c r="Q112" s="99"/>
      <c r="R112" s="99"/>
      <c r="S112" s="99"/>
      <c r="T112" s="99"/>
      <c r="U112" s="99"/>
      <c r="V112" s="99"/>
    </row>
    <row r="113" spans="1:22" ht="43.5" customHeight="1" x14ac:dyDescent="0.25"/>
    <row r="114" spans="1:22" ht="43.5" customHeight="1" x14ac:dyDescent="0.25"/>
    <row r="115" spans="1:22" x14ac:dyDescent="0.25">
      <c r="A115" s="95"/>
      <c r="B115" s="95"/>
      <c r="C115" s="95"/>
      <c r="D115" s="95"/>
      <c r="E115" s="95"/>
      <c r="F115" s="95"/>
      <c r="G115" s="95"/>
      <c r="H115" s="95"/>
      <c r="I115" s="95"/>
      <c r="J115" s="95"/>
      <c r="K115" s="95"/>
      <c r="L115" s="95"/>
      <c r="M115" s="95"/>
      <c r="N115" s="95"/>
      <c r="O115" s="95"/>
      <c r="P115" s="95"/>
      <c r="Q115" s="95"/>
      <c r="R115" s="95"/>
      <c r="S115" s="95"/>
      <c r="T115" s="95"/>
      <c r="U115" s="95"/>
      <c r="V115" s="95"/>
    </row>
  </sheetData>
  <mergeCells count="24">
    <mergeCell ref="D1:V1"/>
    <mergeCell ref="A104:R104"/>
    <mergeCell ref="A105:V105"/>
    <mergeCell ref="A106:V106"/>
    <mergeCell ref="A101:R101"/>
    <mergeCell ref="A102:V102"/>
    <mergeCell ref="A103:V103"/>
    <mergeCell ref="A115:V115"/>
    <mergeCell ref="A107:V107"/>
    <mergeCell ref="A108:V108"/>
    <mergeCell ref="D4:G4"/>
    <mergeCell ref="I4:L4"/>
    <mergeCell ref="N4:Q4"/>
    <mergeCell ref="S4:V4"/>
    <mergeCell ref="A109:V109"/>
    <mergeCell ref="A112:V112"/>
    <mergeCell ref="A110:V110"/>
    <mergeCell ref="A111:V111"/>
    <mergeCell ref="X4:AA4"/>
    <mergeCell ref="D5:G5"/>
    <mergeCell ref="I5:L5"/>
    <mergeCell ref="N5:Q5"/>
    <mergeCell ref="S5:V5"/>
    <mergeCell ref="X5:AA5"/>
  </mergeCells>
  <conditionalFormatting sqref="D98:G99">
    <cfRule type="cellIs" dxfId="42" priority="11" operator="equal">
      <formula>0</formula>
    </cfRule>
  </conditionalFormatting>
  <conditionalFormatting sqref="I99">
    <cfRule type="cellIs" dxfId="41" priority="10" operator="equal">
      <formula>0</formula>
    </cfRule>
  </conditionalFormatting>
  <conditionalFormatting sqref="I66:M66">
    <cfRule type="cellIs" dxfId="40" priority="19" operator="equal">
      <formula>25.3276953262176</formula>
    </cfRule>
  </conditionalFormatting>
  <conditionalFormatting sqref="I50:Q50">
    <cfRule type="cellIs" dxfId="39" priority="20" operator="equal">
      <formula>25.3276953262176</formula>
    </cfRule>
  </conditionalFormatting>
  <conditionalFormatting sqref="I72:Q72">
    <cfRule type="cellIs" dxfId="38" priority="18" operator="equal">
      <formula>25.3276953262176</formula>
    </cfRule>
  </conditionalFormatting>
  <conditionalFormatting sqref="I84:Q84">
    <cfRule type="cellIs" dxfId="37" priority="17" operator="equal">
      <formula>25.3276953262176</formula>
    </cfRule>
  </conditionalFormatting>
  <conditionalFormatting sqref="I89:Q89">
    <cfRule type="cellIs" dxfId="36" priority="16" operator="equal">
      <formula>25.3276953262176</formula>
    </cfRule>
  </conditionalFormatting>
  <conditionalFormatting sqref="K99:L99">
    <cfRule type="cellIs" dxfId="35" priority="9" operator="equal">
      <formula>0</formula>
    </cfRule>
  </conditionalFormatting>
  <conditionalFormatting sqref="N99:Q99">
    <cfRule type="cellIs" dxfId="34" priority="8" operator="equal">
      <formula>0</formula>
    </cfRule>
  </conditionalFormatting>
  <conditionalFormatting sqref="Q29">
    <cfRule type="cellIs" dxfId="33" priority="21" operator="equal">
      <formula>25.3276953262176</formula>
    </cfRule>
  </conditionalFormatting>
  <conditionalFormatting sqref="Q51 Q67 Q73 Q85 Q90">
    <cfRule type="cellIs" dxfId="32" priority="22" operator="equal">
      <formula>25.3276953262176</formula>
    </cfRule>
  </conditionalFormatting>
  <conditionalFormatting sqref="S50:V50">
    <cfRule type="cellIs" dxfId="31" priority="23" operator="equal">
      <formula>25.3276953262176</formula>
    </cfRule>
  </conditionalFormatting>
  <conditionalFormatting sqref="S72:V72">
    <cfRule type="cellIs" dxfId="30" priority="24" operator="equal">
      <formula>25.3276953262176</formula>
    </cfRule>
  </conditionalFormatting>
  <conditionalFormatting sqref="S84:V84">
    <cfRule type="cellIs" dxfId="29" priority="25" operator="equal">
      <formula>25.3276953262176</formula>
    </cfRule>
  </conditionalFormatting>
  <conditionalFormatting sqref="S89:V89">
    <cfRule type="cellIs" dxfId="28" priority="26" operator="equal">
      <formula>25.3276953262176</formula>
    </cfRule>
  </conditionalFormatting>
  <conditionalFormatting sqref="S99:V99">
    <cfRule type="cellIs" dxfId="27" priority="7" operator="equal">
      <formula>0</formula>
    </cfRule>
  </conditionalFormatting>
  <conditionalFormatting sqref="V29">
    <cfRule type="cellIs" dxfId="26" priority="27" operator="equal">
      <formula>25.3276953262176</formula>
    </cfRule>
  </conditionalFormatting>
  <conditionalFormatting sqref="V51 V73 V90">
    <cfRule type="cellIs" dxfId="25" priority="28" operator="equal">
      <formula>25.3276953262176</formula>
    </cfRule>
  </conditionalFormatting>
  <conditionalFormatting sqref="X50:AA50">
    <cfRule type="cellIs" dxfId="24" priority="12" operator="equal">
      <formula>25.3276953262176</formula>
    </cfRule>
  </conditionalFormatting>
  <conditionalFormatting sqref="X72:AA72">
    <cfRule type="cellIs" dxfId="23" priority="14" operator="equal">
      <formula>25.3276953262176</formula>
    </cfRule>
  </conditionalFormatting>
  <conditionalFormatting sqref="X84:AA84">
    <cfRule type="cellIs" dxfId="22" priority="13" operator="equal">
      <formula>25.3276953262176</formula>
    </cfRule>
  </conditionalFormatting>
  <conditionalFormatting sqref="X89:AA89">
    <cfRule type="cellIs" dxfId="21" priority="15" operator="equal">
      <formula>25.3276953262176</formula>
    </cfRule>
  </conditionalFormatting>
  <conditionalFormatting sqref="X99:AA99">
    <cfRule type="cellIs" dxfId="20" priority="6" operator="equal">
      <formula>0</formula>
    </cfRule>
  </conditionalFormatting>
  <printOptions horizontalCentered="1" verticalCentered="1"/>
  <pageMargins left="0.25" right="0.25" top="0.25" bottom="0.25" header="0.3" footer="0.3"/>
  <pageSetup scale="50" fitToHeight="0" orientation="landscape"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0DAC2-3891-4B17-932F-F17F91AB3D2F}">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01AD-BE23-4252-A5C1-7AC6B640F914}">
  <sheetPr filterMode="1">
    <pageSetUpPr fitToPage="1"/>
  </sheetPr>
  <dimension ref="A1:O155"/>
  <sheetViews>
    <sheetView topLeftCell="B1" workbookViewId="0">
      <selection activeCell="C4" sqref="C4"/>
    </sheetView>
  </sheetViews>
  <sheetFormatPr defaultColWidth="9.33203125" defaultRowHeight="14.4" x14ac:dyDescent="0.3"/>
  <cols>
    <col min="1" max="1" width="12.33203125" style="106" hidden="1" customWidth="1"/>
    <col min="2" max="2" width="26.88671875" style="106" customWidth="1"/>
    <col min="3" max="3" width="11.109375" style="106" customWidth="1"/>
    <col min="4" max="4" width="7.6640625" style="106" customWidth="1"/>
    <col min="5" max="5" width="12.5546875" style="106" customWidth="1"/>
    <col min="6" max="6" width="14.44140625" style="106" customWidth="1"/>
    <col min="7" max="7" width="9.109375" style="106" customWidth="1"/>
    <col min="8" max="8" width="10.33203125" style="106" customWidth="1"/>
    <col min="9" max="9" width="9.33203125" style="106"/>
    <col min="10" max="10" width="9.5546875" style="106" bestFit="1" customWidth="1"/>
    <col min="11" max="16384" width="9.33203125" style="106"/>
  </cols>
  <sheetData>
    <row r="1" spans="1:15" ht="17.399999999999999" x14ac:dyDescent="0.3">
      <c r="A1" s="142"/>
      <c r="B1" s="146" t="s">
        <v>213</v>
      </c>
      <c r="C1" s="142"/>
      <c r="D1" s="142"/>
      <c r="E1" s="142"/>
      <c r="F1" s="149">
        <f>CORREL(F7:F90,$O$7:$O$90)</f>
        <v>0.11830705610997579</v>
      </c>
      <c r="G1" s="149">
        <f>CORREL(G7:G90,$O$7:$O$90)</f>
        <v>0.90809968219530068</v>
      </c>
      <c r="H1" s="149">
        <f>CORREL(H7:H90,$O$7:$O$90)</f>
        <v>-0.28543817400674781</v>
      </c>
    </row>
    <row r="2" spans="1:15" x14ac:dyDescent="0.3">
      <c r="A2" s="142"/>
      <c r="B2" s="148"/>
      <c r="C2" s="148"/>
      <c r="D2" s="148"/>
      <c r="E2" s="148"/>
      <c r="F2" s="148"/>
      <c r="G2" s="147"/>
      <c r="H2" s="147"/>
    </row>
    <row r="3" spans="1:15" ht="23.1" customHeight="1" x14ac:dyDescent="0.3">
      <c r="A3" s="140"/>
      <c r="B3" s="154" t="s">
        <v>5</v>
      </c>
      <c r="C3" s="151">
        <v>2023</v>
      </c>
      <c r="D3" s="152"/>
      <c r="E3" s="152"/>
      <c r="F3" s="152"/>
      <c r="G3" s="152"/>
      <c r="H3" s="153"/>
    </row>
    <row r="4" spans="1:15" ht="54.75" customHeight="1" x14ac:dyDescent="0.3">
      <c r="A4" s="101"/>
      <c r="B4" s="155"/>
      <c r="C4" s="143" t="s">
        <v>194</v>
      </c>
      <c r="D4" s="144" t="s">
        <v>195</v>
      </c>
      <c r="E4" s="145" t="s">
        <v>196</v>
      </c>
      <c r="F4" s="88" t="s">
        <v>118</v>
      </c>
      <c r="G4" s="88" t="s">
        <v>116</v>
      </c>
      <c r="H4" s="89" t="s">
        <v>117</v>
      </c>
    </row>
    <row r="5" spans="1:15" ht="11.25" customHeight="1" x14ac:dyDescent="0.3">
      <c r="A5" s="101"/>
      <c r="B5" s="102"/>
      <c r="C5" s="103"/>
      <c r="D5" s="104"/>
      <c r="E5" s="105"/>
      <c r="F5" s="103"/>
      <c r="G5" s="103"/>
      <c r="H5" s="103"/>
    </row>
    <row r="6" spans="1:15" ht="17.25" customHeight="1" x14ac:dyDescent="0.3">
      <c r="A6" s="107"/>
      <c r="B6" s="108" t="s">
        <v>9</v>
      </c>
      <c r="C6" s="109"/>
      <c r="D6" s="110"/>
      <c r="E6" s="111"/>
      <c r="F6" s="109"/>
      <c r="G6" s="109"/>
      <c r="H6" s="110"/>
    </row>
    <row r="7" spans="1:15" ht="17.25" customHeight="1" x14ac:dyDescent="0.3">
      <c r="A7" s="112" t="s">
        <v>119</v>
      </c>
      <c r="B7" s="113" t="s">
        <v>10</v>
      </c>
      <c r="C7" s="114">
        <v>3.2888886666666668</v>
      </c>
      <c r="D7" s="114">
        <v>2.4</v>
      </c>
      <c r="E7" s="114">
        <v>3.5</v>
      </c>
      <c r="F7" s="114">
        <v>2.7013332800000001</v>
      </c>
      <c r="G7" s="114">
        <v>13.238559</v>
      </c>
      <c r="H7" s="115">
        <v>230</v>
      </c>
      <c r="J7" s="116">
        <f>(F7^3)*(H7^-0.125)*G7</f>
        <v>132.23890455539842</v>
      </c>
      <c r="L7" s="106">
        <f>IF(ISERROR(J7),"",J7/N7)</f>
        <v>0.78644335957073686</v>
      </c>
      <c r="N7" s="116">
        <f>O7-15</f>
        <v>168.14803373453134</v>
      </c>
      <c r="O7" s="116">
        <f>VLOOKUP(B7,'Table 1'!$A$8:$G$99,7,FALSE)</f>
        <v>183.14803373453134</v>
      </c>
    </row>
    <row r="8" spans="1:15" ht="17.25" customHeight="1" x14ac:dyDescent="0.3">
      <c r="A8" s="112" t="s">
        <v>120</v>
      </c>
      <c r="B8" s="113" t="s">
        <v>13</v>
      </c>
      <c r="C8" s="114">
        <v>2.855555666666667</v>
      </c>
      <c r="D8" s="114">
        <v>2.1</v>
      </c>
      <c r="E8" s="114">
        <v>3.5</v>
      </c>
      <c r="F8" s="114">
        <v>2.3933333600000006</v>
      </c>
      <c r="G8" s="114">
        <v>0.85207500000000003</v>
      </c>
      <c r="H8" s="115">
        <v>1600</v>
      </c>
      <c r="J8" s="116">
        <f t="shared" ref="J8:J71" si="0">(F8^3)*(H8^-0.125)*G8</f>
        <v>4.6448576466336915</v>
      </c>
      <c r="L8" s="106">
        <f t="shared" ref="L8:L71" si="1">IF(ISERROR(J8),"",J8/N8)</f>
        <v>1.4749584648301097</v>
      </c>
      <c r="N8" s="116">
        <f t="shared" ref="N8:N71" si="2">O8-15</f>
        <v>3.1491447097587937</v>
      </c>
      <c r="O8" s="116">
        <f>VLOOKUP(B8,'Table 1'!$A$8:$G$99,7,FALSE)</f>
        <v>18.149144709758794</v>
      </c>
    </row>
    <row r="9" spans="1:15" ht="17.25" customHeight="1" x14ac:dyDescent="0.3">
      <c r="A9" s="112" t="s">
        <v>121</v>
      </c>
      <c r="B9" s="113" t="s">
        <v>14</v>
      </c>
      <c r="C9" s="114">
        <v>3.3666666666666667</v>
      </c>
      <c r="D9" s="114">
        <v>2.6</v>
      </c>
      <c r="E9" s="114">
        <v>3.5</v>
      </c>
      <c r="F9" s="114">
        <v>2.8559999999999999</v>
      </c>
      <c r="G9" s="114">
        <v>102.26280800000001</v>
      </c>
      <c r="H9" s="115">
        <v>660</v>
      </c>
      <c r="J9" s="116">
        <f>(F9^3)*(H9^-0.125)*G9</f>
        <v>1058.1551039353606</v>
      </c>
      <c r="L9" s="106">
        <f t="shared" si="1"/>
        <v>1.4749584648301104</v>
      </c>
      <c r="N9" s="116">
        <f t="shared" si="2"/>
        <v>717.41349276383971</v>
      </c>
      <c r="O9" s="116">
        <f>VLOOKUP(B9,'Table 1'!$A$8:$G$99,7,FALSE)</f>
        <v>732.41349276383971</v>
      </c>
    </row>
    <row r="10" spans="1:15" ht="17.25" customHeight="1" x14ac:dyDescent="0.3">
      <c r="A10" s="112" t="s">
        <v>122</v>
      </c>
      <c r="B10" s="113" t="s">
        <v>15</v>
      </c>
      <c r="C10" s="114">
        <v>1.7555556666666667</v>
      </c>
      <c r="D10" s="114">
        <v>1.5</v>
      </c>
      <c r="E10" s="114" t="s">
        <v>123</v>
      </c>
      <c r="F10" s="114">
        <v>1.5817778133333333</v>
      </c>
      <c r="G10" s="114">
        <v>3.748901</v>
      </c>
      <c r="H10" s="115" t="s">
        <v>123</v>
      </c>
      <c r="J10" s="116" t="e">
        <f t="shared" si="0"/>
        <v>#VALUE!</v>
      </c>
      <c r="L10" s="106" t="str">
        <f t="shared" si="1"/>
        <v/>
      </c>
      <c r="N10" s="116">
        <f t="shared" si="2"/>
        <v>-15</v>
      </c>
      <c r="O10" s="116">
        <f>VLOOKUP(B10,'Table 1'!$A$8:$G$99,7,FALSE)</f>
        <v>0</v>
      </c>
    </row>
    <row r="11" spans="1:15" ht="17.25" customHeight="1" x14ac:dyDescent="0.3">
      <c r="A11" s="112"/>
      <c r="B11" s="113" t="s">
        <v>16</v>
      </c>
      <c r="C11" s="114" t="s">
        <v>123</v>
      </c>
      <c r="D11" s="114" t="s">
        <v>123</v>
      </c>
      <c r="E11" s="114" t="s">
        <v>123</v>
      </c>
      <c r="F11" s="114" t="s">
        <v>123</v>
      </c>
      <c r="G11" s="114">
        <v>1.2108220000000001</v>
      </c>
      <c r="H11" s="115">
        <v>3860</v>
      </c>
      <c r="J11" s="116" t="e">
        <f t="shared" si="0"/>
        <v>#VALUE!</v>
      </c>
      <c r="L11" s="106" t="str">
        <f t="shared" si="1"/>
        <v/>
      </c>
      <c r="N11" s="116">
        <f t="shared" si="2"/>
        <v>5.795187629544774</v>
      </c>
      <c r="O11" s="116">
        <f>VLOOKUP(B11,'Table 1'!$A$8:$G$99,7,FALSE)</f>
        <v>20.795187629544774</v>
      </c>
    </row>
    <row r="12" spans="1:15" ht="17.25" customHeight="1" x14ac:dyDescent="0.3">
      <c r="A12" s="112" t="s">
        <v>124</v>
      </c>
      <c r="B12" s="113" t="s">
        <v>18</v>
      </c>
      <c r="C12" s="114">
        <v>3.1666666666666665</v>
      </c>
      <c r="D12" s="114">
        <v>3.1</v>
      </c>
      <c r="E12" s="114">
        <v>4</v>
      </c>
      <c r="F12" s="114">
        <v>3.1879999999999997</v>
      </c>
      <c r="G12" s="114">
        <v>126.52706000000001</v>
      </c>
      <c r="H12" s="115">
        <v>1130</v>
      </c>
      <c r="J12" s="116">
        <f t="shared" si="0"/>
        <v>1702.564405315183</v>
      </c>
      <c r="L12" s="106">
        <f t="shared" si="1"/>
        <v>1.4749584648301106</v>
      </c>
      <c r="N12" s="116">
        <f t="shared" si="2"/>
        <v>1154.3134575733891</v>
      </c>
      <c r="O12" s="116">
        <f>VLOOKUP(B12,'Table 1'!$A$8:$G$99,7,FALSE)</f>
        <v>1169.3134575733891</v>
      </c>
    </row>
    <row r="13" spans="1:15" ht="17.25" customHeight="1" x14ac:dyDescent="0.3">
      <c r="A13" s="112" t="s">
        <v>125</v>
      </c>
      <c r="B13" s="113" t="s">
        <v>19</v>
      </c>
      <c r="C13" s="114">
        <v>3.911111</v>
      </c>
      <c r="D13" s="114">
        <v>3.6</v>
      </c>
      <c r="E13" s="114">
        <v>3</v>
      </c>
      <c r="F13" s="114">
        <v>3.6266666400000007</v>
      </c>
      <c r="G13" s="114">
        <v>55.100586</v>
      </c>
      <c r="H13" s="115">
        <v>2110</v>
      </c>
      <c r="J13" s="116">
        <f t="shared" si="0"/>
        <v>1009.5871705244488</v>
      </c>
      <c r="L13" s="106">
        <f t="shared" si="1"/>
        <v>1.4749584648301106</v>
      </c>
      <c r="N13" s="116">
        <f t="shared" si="2"/>
        <v>684.48515303835052</v>
      </c>
      <c r="O13" s="116">
        <f>VLOOKUP(B13,'Table 1'!$A$8:$G$99,7,FALSE)</f>
        <v>699.48515303835052</v>
      </c>
    </row>
    <row r="14" spans="1:15" ht="17.25" customHeight="1" x14ac:dyDescent="0.3">
      <c r="A14" s="112" t="s">
        <v>126</v>
      </c>
      <c r="B14" s="113" t="s">
        <v>20</v>
      </c>
      <c r="C14" s="114">
        <v>3.3888890000000003</v>
      </c>
      <c r="D14" s="114">
        <v>2.9</v>
      </c>
      <c r="E14" s="114">
        <v>3</v>
      </c>
      <c r="F14" s="114">
        <v>3.0253333600000003</v>
      </c>
      <c r="G14" s="114">
        <v>2.3303180000000001</v>
      </c>
      <c r="H14" s="115">
        <v>1160</v>
      </c>
      <c r="J14" s="116">
        <f t="shared" si="0"/>
        <v>26.710231376619305</v>
      </c>
      <c r="L14" s="106">
        <f t="shared" si="1"/>
        <v>1.4749584648301106</v>
      </c>
      <c r="N14" s="116">
        <f t="shared" si="2"/>
        <v>18.109141385005614</v>
      </c>
      <c r="O14" s="116">
        <f>VLOOKUP(B14,'Table 1'!$A$8:$G$99,7,FALSE)</f>
        <v>33.109141385005614</v>
      </c>
    </row>
    <row r="15" spans="1:15" ht="17.25" customHeight="1" x14ac:dyDescent="0.3">
      <c r="A15" s="112" t="s">
        <v>127</v>
      </c>
      <c r="B15" s="113" t="s">
        <v>21</v>
      </c>
      <c r="C15" s="114">
        <v>3.4333333333333336</v>
      </c>
      <c r="D15" s="114">
        <v>2.7</v>
      </c>
      <c r="E15" s="114">
        <v>3.5</v>
      </c>
      <c r="F15" s="114">
        <v>2.9400000000000004</v>
      </c>
      <c r="G15" s="114">
        <v>30.325731999999999</v>
      </c>
      <c r="H15" s="115">
        <v>530</v>
      </c>
      <c r="J15" s="116">
        <f t="shared" si="0"/>
        <v>351.8186033129461</v>
      </c>
      <c r="L15" s="106">
        <f t="shared" si="1"/>
        <v>1.4749584648301106</v>
      </c>
      <c r="N15" s="116">
        <f t="shared" si="2"/>
        <v>238.52780380054259</v>
      </c>
      <c r="O15" s="116">
        <f>VLOOKUP(B15,'Table 1'!$A$8:$G$99,7,FALSE)</f>
        <v>253.52780380054259</v>
      </c>
    </row>
    <row r="16" spans="1:15" ht="17.25" customHeight="1" x14ac:dyDescent="0.3">
      <c r="A16" s="112" t="s">
        <v>128</v>
      </c>
      <c r="B16" s="113" t="s">
        <v>22</v>
      </c>
      <c r="C16" s="114">
        <v>3.0333333333333332</v>
      </c>
      <c r="D16" s="114">
        <v>3</v>
      </c>
      <c r="E16" s="114">
        <v>3.5</v>
      </c>
      <c r="F16" s="114">
        <v>3.048</v>
      </c>
      <c r="G16" s="114">
        <v>20.931750999999998</v>
      </c>
      <c r="H16" s="115">
        <v>640</v>
      </c>
      <c r="J16" s="116">
        <f t="shared" si="0"/>
        <v>264.28830831267805</v>
      </c>
      <c r="L16" s="106">
        <f t="shared" si="1"/>
        <v>1.4749584648301106</v>
      </c>
      <c r="N16" s="116">
        <f t="shared" si="2"/>
        <v>179.18355981849254</v>
      </c>
      <c r="O16" s="116">
        <f>VLOOKUP(B16,'Table 1'!$A$8:$G$99,7,FALSE)</f>
        <v>194.18355981849254</v>
      </c>
    </row>
    <row r="17" spans="1:15" ht="17.25" customHeight="1" x14ac:dyDescent="0.3">
      <c r="A17" s="112" t="s">
        <v>129</v>
      </c>
      <c r="B17" s="113" t="s">
        <v>23</v>
      </c>
      <c r="C17" s="114">
        <v>3.2111113333333332</v>
      </c>
      <c r="D17" s="114">
        <v>2.9</v>
      </c>
      <c r="E17" s="114">
        <v>3</v>
      </c>
      <c r="F17" s="114">
        <v>2.9826667200000001</v>
      </c>
      <c r="G17" s="114">
        <v>33.897354</v>
      </c>
      <c r="H17" s="115">
        <v>530</v>
      </c>
      <c r="J17" s="116">
        <f t="shared" si="0"/>
        <v>410.62510746394543</v>
      </c>
      <c r="L17" s="106">
        <f t="shared" si="1"/>
        <v>0.92976651932112209</v>
      </c>
      <c r="N17" s="116">
        <f t="shared" si="2"/>
        <v>441.64325013958052</v>
      </c>
      <c r="O17" s="116">
        <f>VLOOKUP(B17,'Table 1'!$A$8:$G$99,7,FALSE)</f>
        <v>456.64325013958052</v>
      </c>
    </row>
    <row r="18" spans="1:15" ht="17.25" customHeight="1" x14ac:dyDescent="0.3">
      <c r="A18" s="112" t="s">
        <v>130</v>
      </c>
      <c r="B18" s="113" t="s">
        <v>24</v>
      </c>
      <c r="C18" s="114">
        <v>4.1888890000000005</v>
      </c>
      <c r="D18" s="114">
        <v>3.9</v>
      </c>
      <c r="E18" s="114">
        <v>3.5</v>
      </c>
      <c r="F18" s="114">
        <v>3.9373333600000002</v>
      </c>
      <c r="G18" s="114">
        <v>14.094683</v>
      </c>
      <c r="H18" s="115">
        <v>980</v>
      </c>
      <c r="J18" s="116">
        <f t="shared" si="0"/>
        <v>363.71282304288309</v>
      </c>
      <c r="L18" s="106">
        <f t="shared" si="1"/>
        <v>1.4749584648301104</v>
      </c>
      <c r="N18" s="116">
        <f t="shared" si="2"/>
        <v>246.59190866420533</v>
      </c>
      <c r="O18" s="116">
        <f>VLOOKUP(B18,'Table 1'!$A$8:$G$99,7,FALSE)</f>
        <v>261.59190866420533</v>
      </c>
    </row>
    <row r="19" spans="1:15" ht="17.25" customHeight="1" x14ac:dyDescent="0.3">
      <c r="A19" s="112" t="s">
        <v>131</v>
      </c>
      <c r="B19" s="113" t="s">
        <v>25</v>
      </c>
      <c r="C19" s="114">
        <v>2.9</v>
      </c>
      <c r="D19" s="114">
        <v>3</v>
      </c>
      <c r="E19" s="114">
        <v>3.5</v>
      </c>
      <c r="F19" s="114">
        <v>3.016</v>
      </c>
      <c r="G19" s="114">
        <v>0.23185600000000001</v>
      </c>
      <c r="H19" s="115">
        <v>2480</v>
      </c>
      <c r="J19" s="116">
        <f t="shared" si="0"/>
        <v>2.3944506500147762</v>
      </c>
      <c r="L19" s="106">
        <f t="shared" si="1"/>
        <v>1.4749584648301119</v>
      </c>
      <c r="N19" s="116">
        <f t="shared" si="2"/>
        <v>1.6234020869805121</v>
      </c>
      <c r="O19" s="116">
        <f>VLOOKUP(B19,'Table 1'!$A$8:$G$99,7,FALSE)</f>
        <v>16.623402086980512</v>
      </c>
    </row>
    <row r="20" spans="1:15" ht="17.25" customHeight="1" x14ac:dyDescent="0.3">
      <c r="A20" s="112" t="s">
        <v>132</v>
      </c>
      <c r="B20" s="113" t="s">
        <v>27</v>
      </c>
      <c r="C20" s="114">
        <v>2.3333333333333335</v>
      </c>
      <c r="D20" s="114">
        <v>1.9</v>
      </c>
      <c r="E20" s="114">
        <v>4</v>
      </c>
      <c r="F20" s="114">
        <v>2.1720000000000002</v>
      </c>
      <c r="G20" s="114">
        <v>18.143377999999998</v>
      </c>
      <c r="H20" s="115">
        <v>610</v>
      </c>
      <c r="J20" s="116">
        <f t="shared" si="0"/>
        <v>83.393342681999329</v>
      </c>
      <c r="L20" s="106">
        <f t="shared" si="1"/>
        <v>0.39200037799675802</v>
      </c>
      <c r="N20" s="116">
        <f t="shared" si="2"/>
        <v>212.7379139483611</v>
      </c>
      <c r="O20" s="116">
        <f>VLOOKUP(B20,'Table 1'!$A$8:$G$99,7,FALSE)</f>
        <v>227.7379139483611</v>
      </c>
    </row>
    <row r="21" spans="1:15" ht="17.25" customHeight="1" x14ac:dyDescent="0.3">
      <c r="A21" s="112" t="s">
        <v>133</v>
      </c>
      <c r="B21" s="113" t="s">
        <v>28</v>
      </c>
      <c r="C21" s="114">
        <v>1.788889</v>
      </c>
      <c r="D21" s="114">
        <v>1.3</v>
      </c>
      <c r="E21" s="114">
        <v>3.5</v>
      </c>
      <c r="F21" s="114">
        <v>1.5933333600000001</v>
      </c>
      <c r="G21" s="114">
        <v>11.088796</v>
      </c>
      <c r="H21" s="115" t="s">
        <v>123</v>
      </c>
      <c r="J21" s="116" t="e">
        <f t="shared" si="0"/>
        <v>#VALUE!</v>
      </c>
      <c r="L21" s="106" t="str">
        <f t="shared" si="1"/>
        <v/>
      </c>
      <c r="N21" s="116">
        <f t="shared" si="2"/>
        <v>56.482787772579314</v>
      </c>
      <c r="O21" s="116">
        <f>VLOOKUP(B21,'Table 1'!$A$8:$G$99,7,FALSE)</f>
        <v>71.482787772579314</v>
      </c>
    </row>
    <row r="22" spans="1:15" ht="17.25" customHeight="1" x14ac:dyDescent="0.3">
      <c r="A22" s="112" t="s">
        <v>134</v>
      </c>
      <c r="B22" s="113" t="s">
        <v>29</v>
      </c>
      <c r="C22" s="114">
        <v>2.0666666666666669</v>
      </c>
      <c r="D22" s="114">
        <v>1.8</v>
      </c>
      <c r="E22" s="114">
        <v>4</v>
      </c>
      <c r="F22" s="114">
        <v>2.04</v>
      </c>
      <c r="G22" s="114">
        <v>48.109006000000001</v>
      </c>
      <c r="H22" s="115">
        <v>990</v>
      </c>
      <c r="J22" s="116">
        <f t="shared" si="0"/>
        <v>172.44971732142037</v>
      </c>
      <c r="L22" s="106">
        <f t="shared" si="1"/>
        <v>1.4749584648301102</v>
      </c>
      <c r="N22" s="116">
        <f t="shared" si="2"/>
        <v>116.91835494586866</v>
      </c>
      <c r="O22" s="116">
        <f>VLOOKUP(B22,'Table 1'!$A$8:$G$99,7,FALSE)</f>
        <v>131.91835494586866</v>
      </c>
    </row>
    <row r="23" spans="1:15" ht="15.75" customHeight="1" x14ac:dyDescent="0.3">
      <c r="A23" s="112" t="s">
        <v>135</v>
      </c>
      <c r="B23" s="113" t="s">
        <v>30</v>
      </c>
      <c r="C23" s="114">
        <v>3.6444446666666668</v>
      </c>
      <c r="D23" s="114">
        <v>3.1</v>
      </c>
      <c r="E23" s="114">
        <v>3.5</v>
      </c>
      <c r="F23" s="114">
        <v>3.2626667200000004</v>
      </c>
      <c r="G23" s="114">
        <v>65.362889999999993</v>
      </c>
      <c r="H23" s="115">
        <v>1210</v>
      </c>
      <c r="J23" s="116">
        <f t="shared" si="0"/>
        <v>934.76235496778315</v>
      </c>
      <c r="L23" s="106">
        <f t="shared" si="1"/>
        <v>1.4749584648301106</v>
      </c>
      <c r="N23" s="116">
        <f t="shared" si="2"/>
        <v>633.75503599381113</v>
      </c>
      <c r="O23" s="116">
        <f>VLOOKUP(B23,'Table 1'!$A$8:$G$99,7,FALSE)</f>
        <v>648.75503599381113</v>
      </c>
    </row>
    <row r="24" spans="1:15" ht="17.25" customHeight="1" x14ac:dyDescent="0.3">
      <c r="A24" s="112" t="s">
        <v>136</v>
      </c>
      <c r="B24" s="113" t="s">
        <v>31</v>
      </c>
      <c r="C24" s="114">
        <v>3.6333333333333333</v>
      </c>
      <c r="D24" s="114">
        <v>3.3</v>
      </c>
      <c r="E24" s="114">
        <v>3</v>
      </c>
      <c r="F24" s="114">
        <v>3.3559999999999999</v>
      </c>
      <c r="G24" s="114">
        <v>48.582334000000003</v>
      </c>
      <c r="H24" s="115">
        <v>980</v>
      </c>
      <c r="J24" s="116">
        <f t="shared" si="0"/>
        <v>776.32035316655697</v>
      </c>
      <c r="L24" s="106">
        <f t="shared" si="1"/>
        <v>1.4749584648301106</v>
      </c>
      <c r="N24" s="116">
        <f t="shared" si="2"/>
        <v>526.33370476366292</v>
      </c>
      <c r="O24" s="116">
        <f>VLOOKUP(B24,'Table 1'!$A$8:$G$99,7,FALSE)</f>
        <v>541.33370476366292</v>
      </c>
    </row>
    <row r="25" spans="1:15" ht="17.25" customHeight="1" x14ac:dyDescent="0.3">
      <c r="A25" s="112" t="s">
        <v>137</v>
      </c>
      <c r="B25" s="113" t="s">
        <v>32</v>
      </c>
      <c r="C25" s="114">
        <v>3.3555553333333332</v>
      </c>
      <c r="D25" s="114">
        <v>2.9</v>
      </c>
      <c r="E25" s="114">
        <v>3.5</v>
      </c>
      <c r="F25" s="114">
        <v>3.0573332799999999</v>
      </c>
      <c r="G25" s="114">
        <v>20.569737</v>
      </c>
      <c r="H25" s="115">
        <v>1320</v>
      </c>
      <c r="J25" s="116">
        <f t="shared" si="0"/>
        <v>239.43373971484237</v>
      </c>
      <c r="L25" s="106">
        <f t="shared" si="1"/>
        <v>1.4749584648301104</v>
      </c>
      <c r="N25" s="116">
        <f t="shared" si="2"/>
        <v>162.33253032140195</v>
      </c>
      <c r="O25" s="116">
        <f>VLOOKUP(B25,'Table 1'!$A$8:$G$99,7,FALSE)</f>
        <v>177.33253032140195</v>
      </c>
    </row>
    <row r="26" spans="1:15" ht="17.25" customHeight="1" x14ac:dyDescent="0.3">
      <c r="A26" s="112" t="s">
        <v>138</v>
      </c>
      <c r="B26" s="113" t="s">
        <v>33</v>
      </c>
      <c r="C26" s="114">
        <v>3.0111109999999996</v>
      </c>
      <c r="D26" s="114">
        <v>2.9</v>
      </c>
      <c r="E26" s="114">
        <v>4.5</v>
      </c>
      <c r="F26" s="114">
        <v>3.0546666399999998</v>
      </c>
      <c r="G26" s="114">
        <v>16.665409</v>
      </c>
      <c r="H26" s="115">
        <v>1740</v>
      </c>
      <c r="J26" s="116">
        <f t="shared" si="0"/>
        <v>186.9126894465191</v>
      </c>
      <c r="L26" s="106">
        <f t="shared" si="1"/>
        <v>-12.460845963101272</v>
      </c>
      <c r="N26" s="116">
        <f t="shared" si="2"/>
        <v>-15</v>
      </c>
      <c r="O26" s="116">
        <f>VLOOKUP(B26,'Table 1'!$A$8:$G$99,7,FALSE)</f>
        <v>0</v>
      </c>
    </row>
    <row r="27" spans="1:15" ht="17.25" hidden="1" customHeight="1" x14ac:dyDescent="0.3">
      <c r="A27" s="112"/>
      <c r="B27" s="117" t="s">
        <v>35</v>
      </c>
      <c r="C27" s="114"/>
      <c r="D27" s="114"/>
      <c r="E27" s="114"/>
      <c r="F27" s="114"/>
      <c r="G27" s="114"/>
      <c r="H27" s="115"/>
      <c r="J27" s="116" t="e">
        <f t="shared" si="0"/>
        <v>#DIV/0!</v>
      </c>
      <c r="L27" s="106" t="str">
        <f t="shared" si="1"/>
        <v/>
      </c>
      <c r="N27" s="116">
        <f t="shared" si="2"/>
        <v>-15</v>
      </c>
      <c r="O27" s="116">
        <f>VLOOKUP(B27,'Table 1'!$A$8:$G$99,7,FALSE)</f>
        <v>0</v>
      </c>
    </row>
    <row r="28" spans="1:15" ht="17.25" customHeight="1" x14ac:dyDescent="0.3">
      <c r="A28" s="112" t="s">
        <v>139</v>
      </c>
      <c r="B28" s="113" t="s">
        <v>36</v>
      </c>
      <c r="C28" s="114">
        <v>3.9666666666666668</v>
      </c>
      <c r="D28" s="114">
        <v>3.7</v>
      </c>
      <c r="E28" s="114">
        <v>4</v>
      </c>
      <c r="F28" s="114">
        <v>3.7880000000000003</v>
      </c>
      <c r="G28" s="114">
        <v>13.712828</v>
      </c>
      <c r="H28" s="115">
        <v>1440</v>
      </c>
      <c r="J28" s="116">
        <f t="shared" si="0"/>
        <v>300.30435348289399</v>
      </c>
      <c r="L28" s="106">
        <f t="shared" si="1"/>
        <v>0.8186083459148521</v>
      </c>
      <c r="N28" s="116">
        <f t="shared" si="2"/>
        <v>366.84741241830716</v>
      </c>
      <c r="O28" s="116">
        <f>VLOOKUP(B28,'Table 1'!$A$8:$G$99,7,FALSE)</f>
        <v>381.84741241830716</v>
      </c>
    </row>
    <row r="29" spans="1:15" ht="17.25" customHeight="1" x14ac:dyDescent="0.3">
      <c r="A29" s="112" t="s">
        <v>140</v>
      </c>
      <c r="B29" s="113" t="s">
        <v>37</v>
      </c>
      <c r="C29" s="114">
        <v>3.5</v>
      </c>
      <c r="D29" s="114">
        <v>3.2</v>
      </c>
      <c r="E29" s="114">
        <v>3.5</v>
      </c>
      <c r="F29" s="114">
        <v>3.2960000000000003</v>
      </c>
      <c r="G29" s="114">
        <v>23.251484999999999</v>
      </c>
      <c r="H29" s="115">
        <v>850</v>
      </c>
      <c r="J29" s="116">
        <f t="shared" si="0"/>
        <v>358.29020747473845</v>
      </c>
      <c r="L29" s="106">
        <f t="shared" si="1"/>
        <v>1.4749584648301106</v>
      </c>
      <c r="N29" s="116">
        <f t="shared" si="2"/>
        <v>242.91545559963089</v>
      </c>
      <c r="O29" s="116">
        <f>VLOOKUP(B29,'Table 1'!$A$8:$G$99,7,FALSE)</f>
        <v>257.91545559963089</v>
      </c>
    </row>
    <row r="30" spans="1:15" ht="17.25" customHeight="1" x14ac:dyDescent="0.3">
      <c r="A30" s="112" t="s">
        <v>141</v>
      </c>
      <c r="B30" s="113" t="s">
        <v>38</v>
      </c>
      <c r="C30" s="114">
        <v>3.4333333333333336</v>
      </c>
      <c r="D30" s="114">
        <v>3</v>
      </c>
      <c r="E30" s="114">
        <v>3</v>
      </c>
      <c r="F30" s="114">
        <v>3.1040000000000001</v>
      </c>
      <c r="G30" s="114">
        <v>28.647293000000001</v>
      </c>
      <c r="H30" s="115">
        <v>1650</v>
      </c>
      <c r="J30" s="116">
        <f t="shared" si="0"/>
        <v>339.36201879608933</v>
      </c>
      <c r="L30" s="106">
        <f t="shared" si="1"/>
        <v>1.4749584648301104</v>
      </c>
      <c r="N30" s="116">
        <f t="shared" si="2"/>
        <v>230.082423938072</v>
      </c>
      <c r="O30" s="116">
        <f>VLOOKUP(B30,'Table 1'!$A$8:$G$99,7,FALSE)</f>
        <v>245.082423938072</v>
      </c>
    </row>
    <row r="31" spans="1:15" ht="17.25" customHeight="1" x14ac:dyDescent="0.3">
      <c r="A31" s="112" t="s">
        <v>142</v>
      </c>
      <c r="B31" s="113" t="s">
        <v>39</v>
      </c>
      <c r="C31" s="114">
        <v>3.8333333333333335</v>
      </c>
      <c r="D31" s="114">
        <v>4</v>
      </c>
      <c r="E31" s="114">
        <v>3.5</v>
      </c>
      <c r="F31" s="114">
        <v>3.92</v>
      </c>
      <c r="G31" s="114">
        <v>0.59868200000000005</v>
      </c>
      <c r="H31" s="115">
        <v>4280</v>
      </c>
      <c r="J31" s="116">
        <f t="shared" si="0"/>
        <v>12.680136560304611</v>
      </c>
      <c r="L31" s="106">
        <f t="shared" si="1"/>
        <v>1.4749584648301108</v>
      </c>
      <c r="N31" s="116">
        <f t="shared" si="2"/>
        <v>8.5969448378772739</v>
      </c>
      <c r="O31" s="116">
        <f>VLOOKUP(B31,'Table 1'!$A$8:$G$99,7,FALSE)</f>
        <v>23.596944837877274</v>
      </c>
    </row>
    <row r="32" spans="1:15" ht="17.25" customHeight="1" x14ac:dyDescent="0.3">
      <c r="A32" s="112" t="s">
        <v>143</v>
      </c>
      <c r="B32" s="113" t="s">
        <v>40</v>
      </c>
      <c r="C32" s="114">
        <v>2.6555556666666669</v>
      </c>
      <c r="D32" s="114">
        <v>2.4</v>
      </c>
      <c r="E32" s="114">
        <v>4</v>
      </c>
      <c r="F32" s="114">
        <v>2.5893333599999999</v>
      </c>
      <c r="G32" s="114">
        <v>5.7423149999999996</v>
      </c>
      <c r="H32" s="115">
        <v>470</v>
      </c>
      <c r="J32" s="116">
        <f t="shared" si="0"/>
        <v>46.199649438565061</v>
      </c>
      <c r="L32" s="106">
        <f t="shared" si="1"/>
        <v>1.4749584648301106</v>
      </c>
      <c r="N32" s="116">
        <f t="shared" si="2"/>
        <v>31.322678258527404</v>
      </c>
      <c r="O32" s="116">
        <f>VLOOKUP(B32,'Table 1'!$A$8:$G$99,7,FALSE)</f>
        <v>46.322678258527404</v>
      </c>
    </row>
    <row r="33" spans="1:15" ht="17.25" customHeight="1" x14ac:dyDescent="0.3">
      <c r="A33" s="112" t="s">
        <v>144</v>
      </c>
      <c r="B33" s="113" t="s">
        <v>41</v>
      </c>
      <c r="C33" s="114">
        <v>2.8000000000000003</v>
      </c>
      <c r="D33" s="114">
        <v>2.4</v>
      </c>
      <c r="E33" s="114">
        <v>3</v>
      </c>
      <c r="F33" s="114">
        <v>2.5440000000000005</v>
      </c>
      <c r="G33" s="114">
        <v>18.278568</v>
      </c>
      <c r="H33" s="115">
        <v>710</v>
      </c>
      <c r="J33" s="116">
        <f t="shared" si="0"/>
        <v>132.46044084080265</v>
      </c>
      <c r="L33" s="106">
        <f t="shared" si="1"/>
        <v>0.93144693246611754</v>
      </c>
      <c r="N33" s="116">
        <f t="shared" si="2"/>
        <v>142.20932639726209</v>
      </c>
      <c r="O33" s="116">
        <f>VLOOKUP(B33,'Table 1'!$A$8:$G$99,7,FALSE)</f>
        <v>157.20932639726209</v>
      </c>
    </row>
    <row r="34" spans="1:15" ht="17.25" customHeight="1" x14ac:dyDescent="0.3">
      <c r="A34" s="112" t="s">
        <v>145</v>
      </c>
      <c r="B34" s="113" t="s">
        <v>42</v>
      </c>
      <c r="C34" s="114">
        <v>2.8888890000000003</v>
      </c>
      <c r="D34" s="114">
        <v>2.8</v>
      </c>
      <c r="E34" s="114">
        <v>3</v>
      </c>
      <c r="F34" s="114">
        <v>2.8373333599999997</v>
      </c>
      <c r="G34" s="114">
        <v>6.1068689999999997</v>
      </c>
      <c r="H34" s="115">
        <v>2470</v>
      </c>
      <c r="J34" s="116">
        <f t="shared" si="0"/>
        <v>52.536674336163557</v>
      </c>
      <c r="L34" s="106">
        <f t="shared" si="1"/>
        <v>1.4749584648301104</v>
      </c>
      <c r="N34" s="116">
        <f t="shared" si="2"/>
        <v>35.619087309156782</v>
      </c>
      <c r="O34" s="116">
        <f>VLOOKUP(B34,'Table 1'!$A$8:$G$99,7,FALSE)</f>
        <v>50.619087309156782</v>
      </c>
    </row>
    <row r="35" spans="1:15" ht="17.25" customHeight="1" x14ac:dyDescent="0.3">
      <c r="A35" s="112" t="s">
        <v>146</v>
      </c>
      <c r="B35" s="113" t="s">
        <v>43</v>
      </c>
      <c r="C35" s="114">
        <v>3.8444443333333331</v>
      </c>
      <c r="D35" s="114">
        <v>3.7</v>
      </c>
      <c r="E35" s="114">
        <v>3.5</v>
      </c>
      <c r="F35" s="114">
        <v>3.7186666400000004</v>
      </c>
      <c r="G35" s="114">
        <v>28.873034000000001</v>
      </c>
      <c r="H35" s="115">
        <v>2670</v>
      </c>
      <c r="J35" s="116">
        <f t="shared" si="0"/>
        <v>553.78381380394842</v>
      </c>
      <c r="L35" s="106">
        <f t="shared" si="1"/>
        <v>1.4749584648301106</v>
      </c>
      <c r="N35" s="116">
        <f t="shared" si="2"/>
        <v>375.45722609059004</v>
      </c>
      <c r="O35" s="116">
        <f>VLOOKUP(B35,'Table 1'!$A$8:$G$99,7,FALSE)</f>
        <v>390.45722609059004</v>
      </c>
    </row>
    <row r="36" spans="1:15" ht="17.25" customHeight="1" x14ac:dyDescent="0.3">
      <c r="A36" s="112" t="s">
        <v>147</v>
      </c>
      <c r="B36" s="113" t="s">
        <v>44</v>
      </c>
      <c r="C36" s="114">
        <v>3.1444446666666668</v>
      </c>
      <c r="D36" s="114">
        <v>3.1</v>
      </c>
      <c r="E36" s="114">
        <v>3.5</v>
      </c>
      <c r="F36" s="114">
        <v>3.1426667200000002</v>
      </c>
      <c r="G36" s="114">
        <v>2.7731680000000001</v>
      </c>
      <c r="H36" s="115">
        <v>830</v>
      </c>
      <c r="J36" s="116">
        <f t="shared" si="0"/>
        <v>37.152359299417235</v>
      </c>
      <c r="L36" s="106">
        <f t="shared" si="1"/>
        <v>0.49257558871723783</v>
      </c>
      <c r="N36" s="116">
        <f t="shared" si="2"/>
        <v>75.424686384010968</v>
      </c>
      <c r="O36" s="116">
        <f>VLOOKUP(B36,'Table 1'!$A$8:$G$99,7,FALSE)</f>
        <v>90.424686384010968</v>
      </c>
    </row>
    <row r="37" spans="1:15" ht="17.25" customHeight="1" x14ac:dyDescent="0.3">
      <c r="A37" s="112" t="s">
        <v>148</v>
      </c>
      <c r="B37" s="113" t="s">
        <v>45</v>
      </c>
      <c r="C37" s="114">
        <v>3.3444443333333331</v>
      </c>
      <c r="D37" s="114">
        <v>3.6</v>
      </c>
      <c r="E37" s="114">
        <v>3.5</v>
      </c>
      <c r="F37" s="114">
        <v>3.5306666400000006</v>
      </c>
      <c r="G37" s="114">
        <v>34.121985000000002</v>
      </c>
      <c r="H37" s="115">
        <v>2340</v>
      </c>
      <c r="J37" s="116">
        <f t="shared" si="0"/>
        <v>569.44587042634146</v>
      </c>
      <c r="L37" s="106">
        <f t="shared" si="1"/>
        <v>1.4749584648301104</v>
      </c>
      <c r="N37" s="116">
        <f t="shared" si="2"/>
        <v>386.07586857839533</v>
      </c>
      <c r="O37" s="116">
        <f>VLOOKUP(B37,'Table 1'!$A$8:$G$99,7,FALSE)</f>
        <v>401.07586857839533</v>
      </c>
    </row>
    <row r="38" spans="1:15" ht="17.25" customHeight="1" x14ac:dyDescent="0.3">
      <c r="A38" s="112" t="s">
        <v>149</v>
      </c>
      <c r="B38" s="113" t="s">
        <v>46</v>
      </c>
      <c r="C38" s="114">
        <v>3.5222219999999997</v>
      </c>
      <c r="D38" s="114">
        <v>3</v>
      </c>
      <c r="E38" s="114">
        <v>2.5</v>
      </c>
      <c r="F38" s="114">
        <v>3.08533328</v>
      </c>
      <c r="G38" s="114">
        <v>14.190612</v>
      </c>
      <c r="H38" s="115">
        <v>1360</v>
      </c>
      <c r="J38" s="116">
        <f t="shared" si="0"/>
        <v>169.12780533098206</v>
      </c>
      <c r="L38" s="106">
        <f t="shared" si="1"/>
        <v>1.4749584648301104</v>
      </c>
      <c r="N38" s="116">
        <f t="shared" si="2"/>
        <v>114.66614780265195</v>
      </c>
      <c r="O38" s="116">
        <f>VLOOKUP(B38,'Table 1'!$A$8:$G$99,7,FALSE)</f>
        <v>129.66614780265195</v>
      </c>
    </row>
    <row r="39" spans="1:15" ht="17.25" customHeight="1" x14ac:dyDescent="0.3">
      <c r="A39" s="112" t="s">
        <v>150</v>
      </c>
      <c r="B39" s="113" t="s">
        <v>47</v>
      </c>
      <c r="C39" s="114">
        <v>2.7222219999999999</v>
      </c>
      <c r="D39" s="114">
        <v>2.1</v>
      </c>
      <c r="E39" s="114">
        <v>3.5</v>
      </c>
      <c r="F39" s="114">
        <v>2.3613332800000002</v>
      </c>
      <c r="G39" s="114">
        <v>2.1508419999999999</v>
      </c>
      <c r="H39" s="115">
        <v>900</v>
      </c>
      <c r="J39" s="116">
        <f t="shared" si="0"/>
        <v>12.10040924539139</v>
      </c>
      <c r="L39" s="106">
        <f t="shared" si="1"/>
        <v>1.4749584648301111</v>
      </c>
      <c r="N39" s="116">
        <f t="shared" si="2"/>
        <v>8.2038983021702521</v>
      </c>
      <c r="O39" s="116">
        <f>VLOOKUP(B39,'Table 1'!$A$8:$G$99,7,FALSE)</f>
        <v>23.203898302170252</v>
      </c>
    </row>
    <row r="40" spans="1:15" ht="17.25" customHeight="1" x14ac:dyDescent="0.3">
      <c r="A40" s="118" t="s">
        <v>151</v>
      </c>
      <c r="B40" s="113" t="s">
        <v>48</v>
      </c>
      <c r="C40" s="114">
        <v>3.0888886666666671</v>
      </c>
      <c r="D40" s="114">
        <v>2.7</v>
      </c>
      <c r="E40" s="114">
        <v>3.5</v>
      </c>
      <c r="F40" s="114">
        <v>2.8573332800000006</v>
      </c>
      <c r="G40" s="114">
        <v>5.4183770000000004</v>
      </c>
      <c r="H40" s="115">
        <v>730</v>
      </c>
      <c r="J40" s="116">
        <f t="shared" si="0"/>
        <v>55.441702771388719</v>
      </c>
      <c r="L40" s="106">
        <f t="shared" si="1"/>
        <v>1.4749584648301102</v>
      </c>
      <c r="N40" s="116">
        <f t="shared" si="2"/>
        <v>37.58865357457686</v>
      </c>
      <c r="O40" s="116">
        <f>VLOOKUP(B40,'Table 1'!$A$8:$G$99,7,FALSE)</f>
        <v>52.58865357457686</v>
      </c>
    </row>
    <row r="41" spans="1:15" ht="17.25" customHeight="1" x14ac:dyDescent="0.3">
      <c r="A41" s="112" t="s">
        <v>152</v>
      </c>
      <c r="B41" s="113" t="s">
        <v>49</v>
      </c>
      <c r="C41" s="114">
        <v>3.5111109999999996</v>
      </c>
      <c r="D41" s="114">
        <v>2.2999999999999998</v>
      </c>
      <c r="E41" s="114">
        <v>3.5</v>
      </c>
      <c r="F41" s="114">
        <v>2.6866666400000003</v>
      </c>
      <c r="G41" s="114">
        <v>23.293697999999999</v>
      </c>
      <c r="H41" s="115">
        <v>860</v>
      </c>
      <c r="J41" s="116">
        <f t="shared" si="0"/>
        <v>194.11874840875842</v>
      </c>
      <c r="L41" s="106">
        <f t="shared" si="1"/>
        <v>1.4749584648301104</v>
      </c>
      <c r="N41" s="116">
        <f t="shared" si="2"/>
        <v>131.60963717789676</v>
      </c>
      <c r="O41" s="116">
        <f>VLOOKUP(B41,'Table 1'!$A$8:$G$99,7,FALSE)</f>
        <v>146.60963717789676</v>
      </c>
    </row>
    <row r="42" spans="1:15" ht="17.25" customHeight="1" x14ac:dyDescent="0.3">
      <c r="A42" s="112" t="s">
        <v>153</v>
      </c>
      <c r="B42" s="113" t="s">
        <v>50</v>
      </c>
      <c r="C42" s="114">
        <v>3.6222220000000003</v>
      </c>
      <c r="D42" s="114">
        <v>3.4</v>
      </c>
      <c r="E42" s="114">
        <v>3.5</v>
      </c>
      <c r="F42" s="114">
        <v>3.4613332800000007</v>
      </c>
      <c r="G42" s="114">
        <v>4.8629889999999998</v>
      </c>
      <c r="H42" s="115">
        <v>2150</v>
      </c>
      <c r="J42" s="116">
        <f t="shared" si="0"/>
        <v>77.282067812667748</v>
      </c>
      <c r="L42" s="106">
        <f t="shared" si="1"/>
        <v>1.4749584648301104</v>
      </c>
      <c r="N42" s="116">
        <f t="shared" si="2"/>
        <v>52.396097690499573</v>
      </c>
      <c r="O42" s="116">
        <f>VLOOKUP(B42,'Table 1'!$A$8:$G$99,7,FALSE)</f>
        <v>67.396097690499573</v>
      </c>
    </row>
    <row r="43" spans="1:15" ht="17.25" customHeight="1" x14ac:dyDescent="0.3">
      <c r="A43" s="112" t="s">
        <v>154</v>
      </c>
      <c r="B43" s="113" t="s">
        <v>51</v>
      </c>
      <c r="C43" s="114">
        <v>3.4111113333333329</v>
      </c>
      <c r="D43" s="114">
        <v>3.2</v>
      </c>
      <c r="E43" s="114">
        <v>3.5</v>
      </c>
      <c r="F43" s="114">
        <v>3.2746667199999999</v>
      </c>
      <c r="G43" s="114">
        <v>27.202843000000001</v>
      </c>
      <c r="H43" s="115">
        <v>600</v>
      </c>
      <c r="J43" s="116">
        <f t="shared" si="0"/>
        <v>429.38484013829714</v>
      </c>
      <c r="L43" s="106">
        <f t="shared" si="1"/>
        <v>1.4749584648301106</v>
      </c>
      <c r="N43" s="116">
        <f t="shared" si="2"/>
        <v>291.11656387405782</v>
      </c>
      <c r="O43" s="116">
        <f>VLOOKUP(B43,'Table 1'!$A$8:$G$99,7,FALSE)</f>
        <v>306.11656387405782</v>
      </c>
    </row>
    <row r="44" spans="1:15" ht="17.25" customHeight="1" x14ac:dyDescent="0.3">
      <c r="A44" s="112" t="s">
        <v>155</v>
      </c>
      <c r="B44" s="113" t="s">
        <v>52</v>
      </c>
      <c r="C44" s="114">
        <v>3.355555666666667</v>
      </c>
      <c r="D44" s="114">
        <v>2.7</v>
      </c>
      <c r="E44" s="114">
        <v>3</v>
      </c>
      <c r="F44" s="114">
        <v>2.8813333600000002</v>
      </c>
      <c r="G44" s="114">
        <v>223.804632</v>
      </c>
      <c r="H44" s="115">
        <v>1930</v>
      </c>
      <c r="J44" s="116">
        <f t="shared" si="0"/>
        <v>2079.4808707441171</v>
      </c>
      <c r="L44" s="106">
        <f t="shared" si="1"/>
        <v>1.4749584648301106</v>
      </c>
      <c r="N44" s="116">
        <f t="shared" si="2"/>
        <v>1409.857240273974</v>
      </c>
      <c r="O44" s="116">
        <f>VLOOKUP(B44,'Table 1'!$A$8:$G$99,7,FALSE)</f>
        <v>1424.857240273974</v>
      </c>
    </row>
    <row r="45" spans="1:15" ht="17.25" customHeight="1" x14ac:dyDescent="0.3">
      <c r="A45" s="112" t="s">
        <v>156</v>
      </c>
      <c r="B45" s="113" t="s">
        <v>53</v>
      </c>
      <c r="C45" s="114">
        <v>3.7333333333333329</v>
      </c>
      <c r="D45" s="114">
        <v>3.6</v>
      </c>
      <c r="E45" s="114">
        <v>3.5</v>
      </c>
      <c r="F45" s="114">
        <v>3.6240000000000006</v>
      </c>
      <c r="G45" s="114">
        <v>17.763162999999999</v>
      </c>
      <c r="H45" s="115">
        <v>1660</v>
      </c>
      <c r="J45" s="116">
        <f t="shared" si="0"/>
        <v>334.63499576156761</v>
      </c>
      <c r="L45" s="106">
        <f t="shared" si="1"/>
        <v>1.4749584648301102</v>
      </c>
      <c r="N45" s="116">
        <f t="shared" si="2"/>
        <v>226.87757231191713</v>
      </c>
      <c r="O45" s="116">
        <f>VLOOKUP(B45,'Table 1'!$A$8:$G$99,7,FALSE)</f>
        <v>241.87757231191713</v>
      </c>
    </row>
    <row r="46" spans="1:15" ht="17.25" customHeight="1" x14ac:dyDescent="0.3">
      <c r="A46" s="112" t="s">
        <v>157</v>
      </c>
      <c r="B46" s="113" t="s">
        <v>54</v>
      </c>
      <c r="C46" s="114">
        <v>3.1999999999999997</v>
      </c>
      <c r="D46" s="114">
        <v>3.2</v>
      </c>
      <c r="E46" s="114">
        <v>4</v>
      </c>
      <c r="F46" s="114">
        <v>3.2639999999999998</v>
      </c>
      <c r="G46" s="114">
        <v>8.7910920000000008</v>
      </c>
      <c r="H46" s="115">
        <v>560</v>
      </c>
      <c r="J46" s="116">
        <f t="shared" si="0"/>
        <v>138.60208769852247</v>
      </c>
      <c r="L46" s="106">
        <f t="shared" si="1"/>
        <v>1.4749584648301104</v>
      </c>
      <c r="N46" s="116">
        <f t="shared" si="2"/>
        <v>93.970163230655459</v>
      </c>
      <c r="O46" s="116">
        <f>VLOOKUP(B46,'Table 1'!$A$8:$G$99,7,FALSE)</f>
        <v>108.97016323065546</v>
      </c>
    </row>
    <row r="47" spans="1:15" ht="17.25" customHeight="1" x14ac:dyDescent="0.3">
      <c r="A47" s="112" t="s">
        <v>158</v>
      </c>
      <c r="B47" s="113" t="s">
        <v>55</v>
      </c>
      <c r="C47" s="114">
        <v>3.8888886666666664</v>
      </c>
      <c r="D47" s="114">
        <v>3.4</v>
      </c>
      <c r="E47" s="114">
        <v>3.5</v>
      </c>
      <c r="F47" s="114">
        <v>3.5253332799999999</v>
      </c>
      <c r="G47" s="114">
        <v>9.0537989999999997</v>
      </c>
      <c r="H47" s="115">
        <v>1030</v>
      </c>
      <c r="J47" s="116">
        <f t="shared" si="0"/>
        <v>166.65821965833686</v>
      </c>
      <c r="L47" s="106">
        <f t="shared" si="1"/>
        <v>0.79746246828833744</v>
      </c>
      <c r="N47" s="116">
        <f t="shared" si="2"/>
        <v>208.98565924494201</v>
      </c>
      <c r="O47" s="116">
        <f>VLOOKUP(B47,'Table 1'!$A$8:$G$99,7,FALSE)</f>
        <v>223.98565924494201</v>
      </c>
    </row>
    <row r="48" spans="1:15" ht="17.25" hidden="1" customHeight="1" x14ac:dyDescent="0.3">
      <c r="A48" s="119"/>
      <c r="B48" s="117" t="s">
        <v>56</v>
      </c>
      <c r="C48" s="114"/>
      <c r="D48" s="114"/>
      <c r="E48" s="114"/>
      <c r="F48" s="114"/>
      <c r="G48" s="114"/>
      <c r="H48" s="115"/>
      <c r="J48" s="116" t="e">
        <f t="shared" si="0"/>
        <v>#DIV/0!</v>
      </c>
      <c r="L48" s="106" t="str">
        <f t="shared" si="1"/>
        <v/>
      </c>
      <c r="N48" s="116">
        <f t="shared" si="2"/>
        <v>-15</v>
      </c>
      <c r="O48" s="116">
        <f>VLOOKUP(B48,'Table 1'!$A$8:$G$99,7,FALSE)</f>
        <v>0</v>
      </c>
    </row>
    <row r="49" spans="1:15" ht="17.25" customHeight="1" x14ac:dyDescent="0.3">
      <c r="A49" s="112" t="s">
        <v>159</v>
      </c>
      <c r="B49" s="113" t="s">
        <v>57</v>
      </c>
      <c r="C49" s="114">
        <v>3.8222223333333338</v>
      </c>
      <c r="D49" s="114">
        <v>2.8</v>
      </c>
      <c r="E49" s="114">
        <v>3.5</v>
      </c>
      <c r="F49" s="114">
        <v>3.1013333599999999</v>
      </c>
      <c r="G49" s="114">
        <v>16.944825999999999</v>
      </c>
      <c r="H49" s="115">
        <v>1810</v>
      </c>
      <c r="J49" s="116">
        <f t="shared" si="0"/>
        <v>197.91223530617839</v>
      </c>
      <c r="L49" s="106">
        <f t="shared" si="1"/>
        <v>1.4749584648301104</v>
      </c>
      <c r="N49" s="116">
        <f t="shared" si="2"/>
        <v>134.18156512561487</v>
      </c>
      <c r="O49" s="116">
        <f>VLOOKUP(B49,'Table 1'!$A$8:$G$99,7,FALSE)</f>
        <v>149.18156512561487</v>
      </c>
    </row>
    <row r="50" spans="1:15" ht="17.25" customHeight="1" x14ac:dyDescent="0.3">
      <c r="A50" s="112" t="s">
        <v>160</v>
      </c>
      <c r="B50" s="113" t="s">
        <v>58</v>
      </c>
      <c r="C50" s="114">
        <v>3.5444446666666667</v>
      </c>
      <c r="D50" s="114">
        <v>3.2</v>
      </c>
      <c r="E50" s="114">
        <v>3.5</v>
      </c>
      <c r="F50" s="114">
        <v>3.3066667199999999</v>
      </c>
      <c r="G50" s="114">
        <v>0.93637499999999996</v>
      </c>
      <c r="H50" s="115">
        <v>5580</v>
      </c>
      <c r="J50" s="116">
        <f t="shared" si="0"/>
        <v>11.515738876361194</v>
      </c>
      <c r="L50" s="106">
        <f t="shared" si="1"/>
        <v>1.4749584648301104</v>
      </c>
      <c r="N50" s="116">
        <f t="shared" si="2"/>
        <v>7.8075004489618678</v>
      </c>
      <c r="O50" s="116">
        <f>VLOOKUP(B50,'Table 1'!$A$8:$G$99,7,FALSE)</f>
        <v>22.807500448961868</v>
      </c>
    </row>
    <row r="51" spans="1:15" ht="17.25" customHeight="1" x14ac:dyDescent="0.3">
      <c r="A51" s="112" t="s">
        <v>161</v>
      </c>
      <c r="B51" s="113" t="s">
        <v>59</v>
      </c>
      <c r="C51" s="114">
        <v>2.8444446666666665</v>
      </c>
      <c r="D51" s="114">
        <v>3.2</v>
      </c>
      <c r="E51" s="114">
        <v>3</v>
      </c>
      <c r="F51" s="114">
        <v>3.0986667199999998</v>
      </c>
      <c r="G51" s="114">
        <v>0.13351499999999999</v>
      </c>
      <c r="H51" s="115">
        <v>3730</v>
      </c>
      <c r="J51" s="116">
        <f t="shared" si="0"/>
        <v>1.4209901238876814</v>
      </c>
      <c r="L51" s="106">
        <f t="shared" si="1"/>
        <v>1.4749584648301097</v>
      </c>
      <c r="N51" s="116">
        <f t="shared" si="2"/>
        <v>0.96341026392994422</v>
      </c>
      <c r="O51" s="116">
        <f>VLOOKUP(B51,'Table 1'!$A$8:$G$99,7,FALSE)</f>
        <v>15.963410263929944</v>
      </c>
    </row>
    <row r="52" spans="1:15" ht="17.25" customHeight="1" x14ac:dyDescent="0.3">
      <c r="A52" s="112" t="s">
        <v>162</v>
      </c>
      <c r="B52" s="113" t="s">
        <v>60</v>
      </c>
      <c r="C52" s="114">
        <v>3.0444443333333333</v>
      </c>
      <c r="D52" s="114">
        <v>2.8</v>
      </c>
      <c r="E52" s="114">
        <v>3.5</v>
      </c>
      <c r="F52" s="114">
        <v>2.9146666400000001</v>
      </c>
      <c r="G52" s="114">
        <v>7.6337789999999996</v>
      </c>
      <c r="H52" s="115">
        <v>2120</v>
      </c>
      <c r="J52" s="116">
        <f t="shared" si="0"/>
        <v>72.562839827083963</v>
      </c>
      <c r="L52" s="106">
        <f t="shared" si="1"/>
        <v>1.4749584648301106</v>
      </c>
      <c r="N52" s="116">
        <f t="shared" si="2"/>
        <v>49.196530992106233</v>
      </c>
      <c r="O52" s="116">
        <f>VLOOKUP(B52,'Table 1'!$A$8:$G$99,7,FALSE)</f>
        <v>64.196530992106233</v>
      </c>
    </row>
    <row r="53" spans="1:15" ht="17.25" customHeight="1" x14ac:dyDescent="0.3">
      <c r="A53" s="112" t="s">
        <v>163</v>
      </c>
      <c r="B53" s="113" t="s">
        <v>61</v>
      </c>
      <c r="C53" s="114">
        <v>2.6</v>
      </c>
      <c r="D53" s="114">
        <v>2.8</v>
      </c>
      <c r="E53" s="114">
        <v>2.5</v>
      </c>
      <c r="F53" s="114">
        <v>2.7280000000000002</v>
      </c>
      <c r="G53" s="114">
        <v>4.1995999999999999E-2</v>
      </c>
      <c r="H53" s="115">
        <v>7570</v>
      </c>
      <c r="J53" s="116">
        <f t="shared" si="0"/>
        <v>0.27916054663586187</v>
      </c>
      <c r="L53" s="106">
        <f t="shared" si="1"/>
        <v>1.4749584648301044</v>
      </c>
      <c r="N53" s="116">
        <f t="shared" si="2"/>
        <v>0.18926671719397703</v>
      </c>
      <c r="O53" s="116">
        <f>VLOOKUP(B53,'Table 1'!$A$8:$G$99,7,FALSE)</f>
        <v>15.189266717193977</v>
      </c>
    </row>
    <row r="54" spans="1:15" ht="17.25" customHeight="1" x14ac:dyDescent="0.3">
      <c r="A54" s="112" t="s">
        <v>164</v>
      </c>
      <c r="B54" s="113" t="s">
        <v>62</v>
      </c>
      <c r="C54" s="114">
        <v>2.7333333333333329</v>
      </c>
      <c r="D54" s="114">
        <v>2.9</v>
      </c>
      <c r="E54" s="114">
        <v>3</v>
      </c>
      <c r="F54" s="114">
        <v>2.8680000000000003</v>
      </c>
      <c r="G54" s="114">
        <v>0.11522399999999999</v>
      </c>
      <c r="H54" s="115">
        <v>4150</v>
      </c>
      <c r="J54" s="116">
        <f t="shared" si="0"/>
        <v>0.95945448336683847</v>
      </c>
      <c r="L54" s="106">
        <f t="shared" si="1"/>
        <v>1.4749584648301095</v>
      </c>
      <c r="N54" s="116">
        <f t="shared" si="2"/>
        <v>0.65049593344132006</v>
      </c>
      <c r="O54" s="116">
        <f>VLOOKUP(B54,'Table 1'!$A$8:$G$99,7,FALSE)</f>
        <v>15.65049593344132</v>
      </c>
    </row>
    <row r="55" spans="1:15" ht="17.25" customHeight="1" x14ac:dyDescent="0.3">
      <c r="A55" s="112" t="s">
        <v>165</v>
      </c>
      <c r="B55" s="113" t="s">
        <v>64</v>
      </c>
      <c r="C55" s="114">
        <v>2.0111110000000001</v>
      </c>
      <c r="D55" s="114">
        <v>1.9</v>
      </c>
      <c r="E55" s="114">
        <v>4.5</v>
      </c>
      <c r="F55" s="114">
        <v>2.1346666399999998</v>
      </c>
      <c r="G55" s="114">
        <v>54.577997000000003</v>
      </c>
      <c r="H55" s="115">
        <v>1210</v>
      </c>
      <c r="J55" s="116">
        <f t="shared" si="0"/>
        <v>218.60475843574264</v>
      </c>
      <c r="L55" s="106">
        <f t="shared" si="1"/>
        <v>8.4721668363143774</v>
      </c>
      <c r="N55" s="116">
        <f t="shared" si="2"/>
        <v>25.802697545890354</v>
      </c>
      <c r="O55" s="116">
        <f>VLOOKUP(B55,'Table 1'!$A$8:$G$99,7,FALSE)</f>
        <v>40.802697545890354</v>
      </c>
    </row>
    <row r="56" spans="1:15" ht="17.25" customHeight="1" x14ac:dyDescent="0.3">
      <c r="A56" s="112" t="s">
        <v>166</v>
      </c>
      <c r="B56" s="113" t="s">
        <v>65</v>
      </c>
      <c r="C56" s="114">
        <v>2.8666666666666667</v>
      </c>
      <c r="D56" s="114">
        <v>2.8</v>
      </c>
      <c r="E56" s="114">
        <v>2.5</v>
      </c>
      <c r="F56" s="114">
        <v>2.7919999999999998</v>
      </c>
      <c r="G56" s="114">
        <v>10.329931</v>
      </c>
      <c r="H56" s="115">
        <v>2840</v>
      </c>
      <c r="J56" s="116">
        <f t="shared" si="0"/>
        <v>83.210641462439213</v>
      </c>
      <c r="L56" s="106">
        <f t="shared" si="1"/>
        <v>1.4749584648301108</v>
      </c>
      <c r="N56" s="116">
        <f t="shared" si="2"/>
        <v>56.415582842886096</v>
      </c>
      <c r="O56" s="116">
        <f>VLOOKUP(B56,'Table 1'!$A$8:$G$99,7,FALSE)</f>
        <v>71.415582842886096</v>
      </c>
    </row>
    <row r="57" spans="1:15" ht="17.25" customHeight="1" x14ac:dyDescent="0.3">
      <c r="A57" s="112" t="s">
        <v>167</v>
      </c>
      <c r="B57" s="113" t="s">
        <v>66</v>
      </c>
      <c r="C57" s="114">
        <v>3.9111113333333338</v>
      </c>
      <c r="D57" s="114">
        <v>4.0999999999999996</v>
      </c>
      <c r="E57" s="114">
        <v>3</v>
      </c>
      <c r="F57" s="114">
        <v>3.9666667200000001</v>
      </c>
      <c r="G57" s="114">
        <v>0.22568099999999999</v>
      </c>
      <c r="H57" s="115">
        <v>4020</v>
      </c>
      <c r="J57" s="116">
        <f t="shared" si="0"/>
        <v>4.9916471513039067</v>
      </c>
      <c r="L57" s="106">
        <f t="shared" si="1"/>
        <v>1.4749584648301108</v>
      </c>
      <c r="N57" s="116">
        <f t="shared" si="2"/>
        <v>3.3842628591435329</v>
      </c>
      <c r="O57" s="116">
        <f>VLOOKUP(B57,'Table 1'!$A$8:$G$99,7,FALSE)</f>
        <v>18.384262859143533</v>
      </c>
    </row>
    <row r="58" spans="1:15" ht="17.25" customHeight="1" x14ac:dyDescent="0.3">
      <c r="A58" s="112" t="s">
        <v>168</v>
      </c>
      <c r="B58" s="113" t="s">
        <v>67</v>
      </c>
      <c r="C58" s="114">
        <v>2.9888890000000004</v>
      </c>
      <c r="D58" s="114">
        <v>2.7</v>
      </c>
      <c r="E58" s="114">
        <v>3.5</v>
      </c>
      <c r="F58" s="114">
        <v>2.8333333600000001</v>
      </c>
      <c r="G58" s="114">
        <v>0.74042399999999997</v>
      </c>
      <c r="H58" s="115">
        <v>2270</v>
      </c>
      <c r="J58" s="116">
        <f t="shared" si="0"/>
        <v>6.4101808227562875</v>
      </c>
      <c r="L58" s="106">
        <f t="shared" si="1"/>
        <v>1.4749584648301113</v>
      </c>
      <c r="N58" s="116">
        <f t="shared" si="2"/>
        <v>4.3460076846941078</v>
      </c>
      <c r="O58" s="116">
        <f>VLOOKUP(B58,'Table 1'!$A$8:$G$99,7,FALSE)</f>
        <v>19.346007684694108</v>
      </c>
    </row>
    <row r="59" spans="1:15" ht="17.25" customHeight="1" x14ac:dyDescent="0.3">
      <c r="A59" s="112" t="s">
        <v>169</v>
      </c>
      <c r="B59" s="113" t="s">
        <v>68</v>
      </c>
      <c r="C59" s="114">
        <v>2.8555553333333332</v>
      </c>
      <c r="D59" s="114">
        <v>2.6</v>
      </c>
      <c r="E59" s="114">
        <v>2.5</v>
      </c>
      <c r="F59" s="114">
        <v>2.6533332800000005</v>
      </c>
      <c r="G59" s="114">
        <v>1.3605959999999999</v>
      </c>
      <c r="H59" s="115">
        <v>2140</v>
      </c>
      <c r="J59" s="116">
        <f t="shared" si="0"/>
        <v>9.7454720674833464</v>
      </c>
      <c r="L59" s="106">
        <f t="shared" si="1"/>
        <v>1.4749584648301108</v>
      </c>
      <c r="N59" s="116">
        <f t="shared" si="2"/>
        <v>6.6072857642169964</v>
      </c>
      <c r="O59" s="116">
        <f>VLOOKUP(B59,'Table 1'!$A$8:$G$99,7,FALSE)</f>
        <v>21.607285764216996</v>
      </c>
    </row>
    <row r="60" spans="1:15" ht="17.25" customHeight="1" x14ac:dyDescent="0.3">
      <c r="A60" s="112" t="s">
        <v>170</v>
      </c>
      <c r="B60" s="113" t="s">
        <v>69</v>
      </c>
      <c r="C60" s="114">
        <v>3.411111</v>
      </c>
      <c r="D60" s="114">
        <v>3.6</v>
      </c>
      <c r="E60" s="114">
        <v>2.5</v>
      </c>
      <c r="F60" s="114">
        <v>3.4666666400000006</v>
      </c>
      <c r="G60" s="114">
        <v>0.10777299999999999</v>
      </c>
      <c r="H60" s="115" t="s">
        <v>123</v>
      </c>
      <c r="J60" s="116" t="e">
        <f t="shared" si="0"/>
        <v>#VALUE!</v>
      </c>
      <c r="L60" s="106" t="str">
        <f t="shared" si="1"/>
        <v/>
      </c>
      <c r="N60" s="116">
        <f t="shared" si="2"/>
        <v>1.0461550007061753</v>
      </c>
      <c r="O60" s="116">
        <f>VLOOKUP(B60,'Table 1'!$A$8:$G$99,7,FALSE)</f>
        <v>16.046155000706175</v>
      </c>
    </row>
    <row r="61" spans="1:15" ht="17.25" customHeight="1" x14ac:dyDescent="0.3">
      <c r="A61" s="112" t="s">
        <v>171</v>
      </c>
      <c r="B61" s="113" t="s">
        <v>70</v>
      </c>
      <c r="C61" s="114">
        <v>2.7444446666666664</v>
      </c>
      <c r="D61" s="114">
        <v>3.2</v>
      </c>
      <c r="E61" s="114">
        <v>3</v>
      </c>
      <c r="F61" s="114">
        <v>3.0746667199999997</v>
      </c>
      <c r="G61" s="114">
        <v>1.1396E-2</v>
      </c>
      <c r="H61" s="115">
        <v>7550</v>
      </c>
      <c r="J61" s="116">
        <f t="shared" si="0"/>
        <v>0.10849337338138033</v>
      </c>
      <c r="L61" s="106">
        <f t="shared" si="1"/>
        <v>1.4749584648301137</v>
      </c>
      <c r="N61" s="116">
        <f t="shared" si="2"/>
        <v>7.3556900732032915E-2</v>
      </c>
      <c r="O61" s="116">
        <f>VLOOKUP(B61,'Table 1'!$A$8:$G$99,7,FALSE)</f>
        <v>15.073556900732033</v>
      </c>
    </row>
    <row r="62" spans="1:15" ht="17.25" customHeight="1" x14ac:dyDescent="0.3">
      <c r="A62" s="112" t="s">
        <v>172</v>
      </c>
      <c r="B62" s="113" t="s">
        <v>71</v>
      </c>
      <c r="C62" s="114">
        <v>3.3666666666666667</v>
      </c>
      <c r="D62" s="114">
        <v>3.1</v>
      </c>
      <c r="E62" s="114">
        <v>4</v>
      </c>
      <c r="F62" s="114">
        <v>3.2359999999999998</v>
      </c>
      <c r="G62" s="114">
        <v>0.33450600000000003</v>
      </c>
      <c r="H62" s="115">
        <v>3660</v>
      </c>
      <c r="J62" s="116">
        <f t="shared" si="0"/>
        <v>4.0643800897916984</v>
      </c>
      <c r="L62" s="106">
        <f t="shared" si="1"/>
        <v>1.4749584648301104</v>
      </c>
      <c r="N62" s="116">
        <f t="shared" si="2"/>
        <v>2.7555895211326131</v>
      </c>
      <c r="O62" s="116">
        <f>VLOOKUP(B62,'Table 1'!$A$8:$G$99,7,FALSE)</f>
        <v>17.755589521132613</v>
      </c>
    </row>
    <row r="63" spans="1:15" ht="17.25" hidden="1" customHeight="1" x14ac:dyDescent="0.3">
      <c r="A63" s="112"/>
      <c r="B63" s="117" t="s">
        <v>72</v>
      </c>
      <c r="C63" s="120"/>
      <c r="D63" s="120"/>
      <c r="E63" s="120"/>
      <c r="F63" s="120"/>
      <c r="G63" s="120"/>
      <c r="H63" s="121"/>
      <c r="J63" s="116" t="e">
        <f t="shared" si="0"/>
        <v>#DIV/0!</v>
      </c>
      <c r="L63" s="106" t="str">
        <f t="shared" si="1"/>
        <v/>
      </c>
      <c r="N63" s="116">
        <f t="shared" si="2"/>
        <v>-15</v>
      </c>
      <c r="O63" s="116">
        <f>VLOOKUP(B63,'Table 1'!$A$8:$G$99,7,FALSE)</f>
        <v>0</v>
      </c>
    </row>
    <row r="64" spans="1:15" ht="17.25" customHeight="1" x14ac:dyDescent="0.3">
      <c r="A64" s="112" t="s">
        <v>173</v>
      </c>
      <c r="B64" s="113" t="s">
        <v>73</v>
      </c>
      <c r="C64" s="114">
        <v>3.9111113333333338</v>
      </c>
      <c r="D64" s="114">
        <v>3.5</v>
      </c>
      <c r="E64" s="114">
        <v>3.5</v>
      </c>
      <c r="F64" s="114">
        <v>3.5986667200000007</v>
      </c>
      <c r="G64" s="114">
        <v>1.7563740000000001</v>
      </c>
      <c r="H64" s="115">
        <v>5980</v>
      </c>
      <c r="J64" s="116">
        <f t="shared" si="0"/>
        <v>27.6028696362287</v>
      </c>
      <c r="L64" s="106">
        <f t="shared" si="1"/>
        <v>1.4749584648301104</v>
      </c>
      <c r="N64" s="116">
        <f t="shared" si="2"/>
        <v>18.714336908062066</v>
      </c>
      <c r="O64" s="116">
        <f>VLOOKUP(B64,'Table 1'!$A$8:$G$99,7,FALSE)</f>
        <v>33.714336908062066</v>
      </c>
    </row>
    <row r="65" spans="1:15" ht="17.25" customHeight="1" x14ac:dyDescent="0.3">
      <c r="A65" s="112" t="s">
        <v>174</v>
      </c>
      <c r="B65" s="113" t="s">
        <v>74</v>
      </c>
      <c r="C65" s="114">
        <v>3.7666666666666671</v>
      </c>
      <c r="D65" s="114">
        <v>3</v>
      </c>
      <c r="E65" s="114">
        <v>3.5</v>
      </c>
      <c r="F65" s="114">
        <v>3.2240000000000002</v>
      </c>
      <c r="G65" s="114">
        <v>7.1007999999999996</v>
      </c>
      <c r="H65" s="115">
        <v>1700</v>
      </c>
      <c r="J65" s="116">
        <f t="shared" si="0"/>
        <v>93.90446976699377</v>
      </c>
      <c r="L65" s="106">
        <f t="shared" si="1"/>
        <v>1.4749584648301102</v>
      </c>
      <c r="N65" s="116">
        <f t="shared" si="2"/>
        <v>63.66584009388356</v>
      </c>
      <c r="O65" s="116">
        <f>VLOOKUP(B65,'Table 1'!$A$8:$G$99,7,FALSE)</f>
        <v>78.66584009388356</v>
      </c>
    </row>
    <row r="66" spans="1:15" ht="17.25" customHeight="1" x14ac:dyDescent="0.3">
      <c r="A66" s="112" t="s">
        <v>175</v>
      </c>
      <c r="B66" s="113" t="s">
        <v>75</v>
      </c>
      <c r="C66" s="114">
        <v>3.2222219999999999</v>
      </c>
      <c r="D66" s="114">
        <v>3.1</v>
      </c>
      <c r="E66" s="114">
        <v>3</v>
      </c>
      <c r="F66" s="114">
        <v>3.12133328</v>
      </c>
      <c r="G66" s="114">
        <v>10.143542999999999</v>
      </c>
      <c r="H66" s="115">
        <v>1440</v>
      </c>
      <c r="J66" s="116">
        <f t="shared" si="0"/>
        <v>124.28387678163756</v>
      </c>
      <c r="L66" s="106">
        <f t="shared" si="1"/>
        <v>1.4749584648301104</v>
      </c>
      <c r="N66" s="116">
        <f t="shared" si="2"/>
        <v>84.262628233367167</v>
      </c>
      <c r="O66" s="116">
        <f>VLOOKUP(B66,'Table 1'!$A$8:$G$99,7,FALSE)</f>
        <v>99.262628233367167</v>
      </c>
    </row>
    <row r="67" spans="1:15" ht="17.25" customHeight="1" x14ac:dyDescent="0.3">
      <c r="A67" s="112" t="s">
        <v>176</v>
      </c>
      <c r="B67" s="113" t="s">
        <v>76</v>
      </c>
      <c r="C67" s="114">
        <v>3.8888890000000003</v>
      </c>
      <c r="D67" s="114">
        <v>3.7</v>
      </c>
      <c r="E67" s="114">
        <v>3</v>
      </c>
      <c r="F67" s="114">
        <v>3.6893333600000009</v>
      </c>
      <c r="G67" s="114">
        <v>36.412350000000004</v>
      </c>
      <c r="H67" s="115">
        <v>2360</v>
      </c>
      <c r="J67" s="116">
        <f t="shared" si="0"/>
        <v>692.59348962222577</v>
      </c>
      <c r="L67" s="106">
        <f t="shared" si="1"/>
        <v>1.4749584648301104</v>
      </c>
      <c r="N67" s="116">
        <f t="shared" si="2"/>
        <v>469.56813099276019</v>
      </c>
      <c r="O67" s="116">
        <f>VLOOKUP(B67,'Table 1'!$A$8:$G$99,7,FALSE)</f>
        <v>484.56813099276019</v>
      </c>
    </row>
    <row r="68" spans="1:15" ht="17.25" hidden="1" customHeight="1" x14ac:dyDescent="0.3">
      <c r="A68" s="112"/>
      <c r="B68" s="117" t="s">
        <v>77</v>
      </c>
      <c r="C68" s="120"/>
      <c r="D68" s="120"/>
      <c r="E68" s="120"/>
      <c r="F68" s="120"/>
      <c r="G68" s="120"/>
      <c r="H68" s="121"/>
      <c r="J68" s="116" t="e">
        <f t="shared" si="0"/>
        <v>#DIV/0!</v>
      </c>
      <c r="L68" s="106" t="str">
        <f t="shared" si="1"/>
        <v/>
      </c>
      <c r="N68" s="116">
        <f t="shared" si="2"/>
        <v>-15</v>
      </c>
      <c r="O68" s="116">
        <f>VLOOKUP(B68,'Table 1'!$A$8:$G$99,7,FALSE)</f>
        <v>0</v>
      </c>
    </row>
    <row r="69" spans="1:15" ht="17.25" customHeight="1" x14ac:dyDescent="0.3">
      <c r="A69" s="112"/>
      <c r="B69" s="113" t="s">
        <v>78</v>
      </c>
      <c r="C69" s="114" t="s">
        <v>123</v>
      </c>
      <c r="D69" s="114" t="s">
        <v>123</v>
      </c>
      <c r="E69" s="114" t="s">
        <v>123</v>
      </c>
      <c r="F69" s="114" t="s">
        <v>123</v>
      </c>
      <c r="G69" s="114">
        <v>0.410825</v>
      </c>
      <c r="H69" s="115">
        <v>7190</v>
      </c>
      <c r="J69" s="116" t="e">
        <f t="shared" si="0"/>
        <v>#VALUE!</v>
      </c>
      <c r="L69" s="106" t="str">
        <f t="shared" si="1"/>
        <v/>
      </c>
      <c r="N69" s="116">
        <f t="shared" si="2"/>
        <v>2.5125783311035761</v>
      </c>
      <c r="O69" s="116">
        <f>VLOOKUP(B69,'Table 1'!$A$8:$G$99,7,FALSE)</f>
        <v>17.512578331103576</v>
      </c>
    </row>
    <row r="70" spans="1:15" ht="17.25" customHeight="1" x14ac:dyDescent="0.3">
      <c r="A70" s="112" t="s">
        <v>177</v>
      </c>
      <c r="B70" s="113" t="s">
        <v>79</v>
      </c>
      <c r="C70" s="114">
        <v>3.6333333333333333</v>
      </c>
      <c r="D70" s="114">
        <v>3.7</v>
      </c>
      <c r="E70" s="114">
        <v>3.5</v>
      </c>
      <c r="F70" s="114">
        <v>3.6680000000000001</v>
      </c>
      <c r="G70" s="114">
        <v>7.3039999999999994E-2</v>
      </c>
      <c r="H70" s="115">
        <v>8920</v>
      </c>
      <c r="J70" s="116">
        <f t="shared" si="0"/>
        <v>1.1562537086153579</v>
      </c>
      <c r="L70" s="106">
        <f t="shared" si="1"/>
        <v>1.4749584648301108</v>
      </c>
      <c r="N70" s="116">
        <f t="shared" si="2"/>
        <v>0.78392289422776251</v>
      </c>
      <c r="O70" s="116">
        <f>VLOOKUP(B70,'Table 1'!$A$8:$G$99,7,FALSE)</f>
        <v>15.783922894227763</v>
      </c>
    </row>
    <row r="71" spans="1:15" ht="17.25" customHeight="1" x14ac:dyDescent="0.3">
      <c r="A71" s="112" t="s">
        <v>178</v>
      </c>
      <c r="B71" s="113" t="s">
        <v>80</v>
      </c>
      <c r="C71" s="114">
        <v>3.8000000000000003</v>
      </c>
      <c r="D71" s="114">
        <v>3.5</v>
      </c>
      <c r="E71" s="114">
        <v>3.5</v>
      </c>
      <c r="F71" s="114">
        <v>3.5720000000000001</v>
      </c>
      <c r="G71" s="114">
        <v>0.12618299999999999</v>
      </c>
      <c r="H71" s="115">
        <v>9800</v>
      </c>
      <c r="J71" s="116">
        <f t="shared" si="0"/>
        <v>1.8231900403372197</v>
      </c>
      <c r="L71" s="106">
        <f t="shared" si="1"/>
        <v>1.4749584648301126</v>
      </c>
      <c r="N71" s="116">
        <f t="shared" si="2"/>
        <v>1.2360958520599539</v>
      </c>
      <c r="O71" s="116">
        <f>VLOOKUP(B71,'Table 1'!$A$8:$G$99,7,FALSE)</f>
        <v>16.236095852059954</v>
      </c>
    </row>
    <row r="72" spans="1:15" ht="17.25" customHeight="1" x14ac:dyDescent="0.3">
      <c r="A72" s="112" t="s">
        <v>179</v>
      </c>
      <c r="B72" s="113" t="s">
        <v>81</v>
      </c>
      <c r="C72" s="114">
        <v>3.3222223333333338</v>
      </c>
      <c r="D72" s="114">
        <v>3.2</v>
      </c>
      <c r="E72" s="114">
        <v>3.5</v>
      </c>
      <c r="F72" s="114">
        <v>3.2533333600000001</v>
      </c>
      <c r="G72" s="114">
        <v>0.81383399999999995</v>
      </c>
      <c r="H72" s="115">
        <v>20360</v>
      </c>
      <c r="J72" s="116">
        <f t="shared" ref="J72:J90" si="3">(F72^3)*(H72^-0.125)*G72</f>
        <v>8.1081972899673271</v>
      </c>
      <c r="L72" s="106">
        <f t="shared" ref="L72:L90" si="4">IF(ISERROR(J72),"",J72/N72)</f>
        <v>1.4749584648301104</v>
      </c>
      <c r="N72" s="116">
        <f t="shared" ref="N72:N90" si="5">O72-15</f>
        <v>5.4972377075724985</v>
      </c>
      <c r="O72" s="116">
        <f>VLOOKUP(B72,'Table 1'!$A$8:$G$99,7,FALSE)</f>
        <v>20.497237707572499</v>
      </c>
    </row>
    <row r="73" spans="1:15" ht="17.25" customHeight="1" x14ac:dyDescent="0.3">
      <c r="A73" s="112" t="s">
        <v>180</v>
      </c>
      <c r="B73" s="113" t="s">
        <v>82</v>
      </c>
      <c r="C73" s="114">
        <v>2.3222223333333334</v>
      </c>
      <c r="D73" s="114">
        <v>1.9</v>
      </c>
      <c r="E73" s="114">
        <v>3</v>
      </c>
      <c r="F73" s="114">
        <v>2.0893333600000004</v>
      </c>
      <c r="G73" s="114">
        <v>11.724762999999999</v>
      </c>
      <c r="H73" s="115">
        <v>1740</v>
      </c>
      <c r="J73" s="116">
        <f t="shared" si="3"/>
        <v>42.078343310174851</v>
      </c>
      <c r="L73" s="106">
        <f t="shared" si="4"/>
        <v>0.86096001148810641</v>
      </c>
      <c r="N73" s="116">
        <f t="shared" si="5"/>
        <v>48.873748778930526</v>
      </c>
      <c r="O73" s="116">
        <f>VLOOKUP(B73,'Table 1'!$A$8:$G$99,7,FALSE)</f>
        <v>63.873748778930526</v>
      </c>
    </row>
    <row r="74" spans="1:15" ht="17.25" customHeight="1" x14ac:dyDescent="0.3">
      <c r="A74" s="112" t="s">
        <v>181</v>
      </c>
      <c r="B74" s="113" t="s">
        <v>83</v>
      </c>
      <c r="C74" s="114">
        <v>3.4444443333333332</v>
      </c>
      <c r="D74" s="114">
        <v>2.8</v>
      </c>
      <c r="E74" s="114">
        <v>2.5</v>
      </c>
      <c r="F74" s="114">
        <v>2.9306666400000001</v>
      </c>
      <c r="G74" s="114">
        <v>10.593798</v>
      </c>
      <c r="H74" s="115">
        <v>2900</v>
      </c>
      <c r="J74" s="116">
        <f t="shared" si="3"/>
        <v>98.435375006282371</v>
      </c>
      <c r="L74" s="106">
        <f t="shared" si="4"/>
        <v>1.4749584648301106</v>
      </c>
      <c r="N74" s="116">
        <f t="shared" si="5"/>
        <v>66.737726758712768</v>
      </c>
      <c r="O74" s="116">
        <f>VLOOKUP(B74,'Table 1'!$A$8:$G$99,7,FALSE)</f>
        <v>81.737726758712768</v>
      </c>
    </row>
    <row r="75" spans="1:15" ht="17.25" customHeight="1" x14ac:dyDescent="0.3">
      <c r="A75" s="112" t="s">
        <v>182</v>
      </c>
      <c r="B75" s="113" t="s">
        <v>84</v>
      </c>
      <c r="C75" s="114">
        <v>3.5</v>
      </c>
      <c r="D75" s="114">
        <v>2.4</v>
      </c>
      <c r="E75" s="114">
        <v>4.5</v>
      </c>
      <c r="F75" s="114">
        <v>2.8319999999999999</v>
      </c>
      <c r="G75" s="114">
        <v>7.0463100000000001</v>
      </c>
      <c r="H75" s="115">
        <v>2270</v>
      </c>
      <c r="J75" s="116">
        <f t="shared" si="3"/>
        <v>60.9169654190733</v>
      </c>
      <c r="L75" s="106">
        <f t="shared" si="4"/>
        <v>1.4749584648301106</v>
      </c>
      <c r="N75" s="116">
        <f t="shared" si="5"/>
        <v>41.300800579553858</v>
      </c>
      <c r="O75" s="116">
        <f>VLOOKUP(B75,'Table 1'!$A$8:$G$99,7,FALSE)</f>
        <v>56.300800579553858</v>
      </c>
    </row>
    <row r="76" spans="1:15" ht="17.25" customHeight="1" x14ac:dyDescent="0.3">
      <c r="A76" s="112" t="s">
        <v>183</v>
      </c>
      <c r="B76" s="113" t="s">
        <v>85</v>
      </c>
      <c r="C76" s="114">
        <v>3.6888890000000001</v>
      </c>
      <c r="D76" s="114">
        <v>3.8</v>
      </c>
      <c r="E76" s="114">
        <v>4.5</v>
      </c>
      <c r="F76" s="114">
        <v>3.8293333600000001</v>
      </c>
      <c r="G76" s="114">
        <v>0.18025099999999999</v>
      </c>
      <c r="H76" s="115">
        <v>12400</v>
      </c>
      <c r="J76" s="116">
        <f t="shared" si="3"/>
        <v>3.1157994602719756</v>
      </c>
      <c r="L76" s="106">
        <f t="shared" si="4"/>
        <v>1.4749584648301117</v>
      </c>
      <c r="N76" s="116">
        <f t="shared" si="5"/>
        <v>2.1124658995945751</v>
      </c>
      <c r="O76" s="116">
        <f>VLOOKUP(B76,'Table 1'!$A$8:$G$99,7,FALSE)</f>
        <v>17.112465899594575</v>
      </c>
    </row>
    <row r="77" spans="1:15" ht="17.25" customHeight="1" x14ac:dyDescent="0.3">
      <c r="A77" s="112" t="s">
        <v>184</v>
      </c>
      <c r="B77" s="113" t="s">
        <v>86</v>
      </c>
      <c r="C77" s="114">
        <v>3.6444446666666668</v>
      </c>
      <c r="D77" s="114">
        <v>3.7</v>
      </c>
      <c r="E77" s="114">
        <v>4</v>
      </c>
      <c r="F77" s="114">
        <v>3.7106667200000003</v>
      </c>
      <c r="G77" s="114">
        <v>0.103698</v>
      </c>
      <c r="H77" s="115">
        <v>10070</v>
      </c>
      <c r="J77" s="116">
        <f t="shared" si="3"/>
        <v>1.6739695125333001</v>
      </c>
      <c r="L77" s="106">
        <f t="shared" si="4"/>
        <v>1.4749584648301093</v>
      </c>
      <c r="N77" s="116">
        <f t="shared" si="5"/>
        <v>1.1349265436610878</v>
      </c>
      <c r="O77" s="116">
        <f>VLOOKUP(B77,'Table 1'!$A$8:$G$99,7,FALSE)</f>
        <v>16.134926543661088</v>
      </c>
    </row>
    <row r="78" spans="1:15" ht="17.25" customHeight="1" x14ac:dyDescent="0.3">
      <c r="A78" s="112"/>
      <c r="B78" s="122" t="s">
        <v>87</v>
      </c>
      <c r="C78" s="114" t="s">
        <v>123</v>
      </c>
      <c r="D78" s="114" t="s">
        <v>123</v>
      </c>
      <c r="E78" s="114" t="s">
        <v>123</v>
      </c>
      <c r="F78" s="114" t="s">
        <v>123</v>
      </c>
      <c r="G78" s="114">
        <v>0.62323600000000001</v>
      </c>
      <c r="H78" s="115">
        <v>5360</v>
      </c>
      <c r="J78" s="116" t="e">
        <f t="shared" si="3"/>
        <v>#VALUE!</v>
      </c>
      <c r="L78" s="106" t="str">
        <f t="shared" si="4"/>
        <v/>
      </c>
      <c r="N78" s="116">
        <f t="shared" si="5"/>
        <v>1.9965901824072994</v>
      </c>
      <c r="O78" s="116">
        <f>VLOOKUP(B78,'Table 1'!$A$8:$G$99,7,FALSE)</f>
        <v>16.996590182407299</v>
      </c>
    </row>
    <row r="79" spans="1:15" ht="17.25" hidden="1" customHeight="1" x14ac:dyDescent="0.3">
      <c r="A79" s="112"/>
      <c r="B79" s="117" t="s">
        <v>88</v>
      </c>
      <c r="C79" s="120"/>
      <c r="D79" s="120"/>
      <c r="E79" s="120"/>
      <c r="F79" s="120"/>
      <c r="G79" s="120"/>
      <c r="H79" s="121"/>
      <c r="J79" s="116" t="e">
        <f t="shared" si="3"/>
        <v>#DIV/0!</v>
      </c>
      <c r="L79" s="106" t="str">
        <f t="shared" si="4"/>
        <v/>
      </c>
      <c r="N79" s="116">
        <f t="shared" si="5"/>
        <v>-15</v>
      </c>
      <c r="O79" s="116">
        <f>VLOOKUP(B79,'Table 1'!$A$8:$G$99,7,FALSE)</f>
        <v>0</v>
      </c>
    </row>
    <row r="80" spans="1:15" ht="17.25" customHeight="1" x14ac:dyDescent="0.3">
      <c r="A80" s="112" t="s">
        <v>185</v>
      </c>
      <c r="B80" s="113" t="s">
        <v>89</v>
      </c>
      <c r="C80" s="114">
        <v>3.1333333333333333</v>
      </c>
      <c r="D80" s="114">
        <v>3.1</v>
      </c>
      <c r="E80" s="114">
        <v>4</v>
      </c>
      <c r="F80" s="114">
        <v>3.18</v>
      </c>
      <c r="G80" s="114">
        <v>1.136455</v>
      </c>
      <c r="H80" s="115">
        <v>3450</v>
      </c>
      <c r="J80" s="116">
        <f t="shared" si="3"/>
        <v>13.200981328550968</v>
      </c>
      <c r="L80" s="106">
        <f t="shared" si="4"/>
        <v>1.4749584648301111</v>
      </c>
      <c r="N80" s="116">
        <f t="shared" si="5"/>
        <v>8.9500698787958655</v>
      </c>
      <c r="O80" s="116">
        <f>VLOOKUP(B80,'Table 1'!$A$8:$G$99,7,FALSE)</f>
        <v>23.950069878795865</v>
      </c>
    </row>
    <row r="81" spans="1:15" ht="17.25" customHeight="1" x14ac:dyDescent="0.3">
      <c r="A81" s="112" t="s">
        <v>186</v>
      </c>
      <c r="B81" s="113" t="s">
        <v>90</v>
      </c>
      <c r="C81" s="114" t="s">
        <v>123</v>
      </c>
      <c r="D81" s="114" t="s">
        <v>123</v>
      </c>
      <c r="E81" s="114" t="s">
        <v>123</v>
      </c>
      <c r="F81" s="114" t="s">
        <v>123</v>
      </c>
      <c r="G81" s="114">
        <v>23.227014</v>
      </c>
      <c r="H81" s="115" t="s">
        <v>123</v>
      </c>
      <c r="J81" s="116" t="e">
        <f t="shared" si="3"/>
        <v>#VALUE!</v>
      </c>
      <c r="L81" s="106" t="str">
        <f t="shared" si="4"/>
        <v/>
      </c>
      <c r="N81" s="116">
        <f t="shared" si="5"/>
        <v>92.7</v>
      </c>
      <c r="O81" s="116">
        <f>VLOOKUP(B81,'Table 1'!$A$8:$G$99,7,FALSE)</f>
        <v>107.7</v>
      </c>
    </row>
    <row r="82" spans="1:15" ht="17.25" customHeight="1" x14ac:dyDescent="0.3">
      <c r="A82" s="112" t="s">
        <v>187</v>
      </c>
      <c r="B82" s="113" t="s">
        <v>91</v>
      </c>
      <c r="C82" s="114">
        <v>1.9555556666666665</v>
      </c>
      <c r="D82" s="114">
        <v>1.5</v>
      </c>
      <c r="E82" s="114">
        <v>3.5</v>
      </c>
      <c r="F82" s="114">
        <v>1.7693333599999999</v>
      </c>
      <c r="G82" s="114">
        <v>34.449824999999997</v>
      </c>
      <c r="H82" s="115" t="s">
        <v>123</v>
      </c>
      <c r="J82" s="116" t="e">
        <f t="shared" si="3"/>
        <v>#VALUE!</v>
      </c>
      <c r="L82" s="106" t="str">
        <f t="shared" si="4"/>
        <v/>
      </c>
      <c r="N82" s="116">
        <f t="shared" si="5"/>
        <v>115.50877683579671</v>
      </c>
      <c r="O82" s="116">
        <f>VLOOKUP(B82,'Table 1'!$A$8:$G$99,7,FALSE)</f>
        <v>130.50877683579671</v>
      </c>
    </row>
    <row r="83" spans="1:15" ht="17.25" hidden="1" customHeight="1" x14ac:dyDescent="0.3">
      <c r="A83" s="119"/>
      <c r="B83" s="117" t="s">
        <v>92</v>
      </c>
      <c r="C83" s="120"/>
      <c r="D83" s="120"/>
      <c r="E83" s="120"/>
      <c r="F83" s="120"/>
      <c r="G83" s="120"/>
      <c r="H83" s="121"/>
      <c r="J83" s="116" t="e">
        <f t="shared" si="3"/>
        <v>#DIV/0!</v>
      </c>
      <c r="L83" s="106" t="str">
        <f t="shared" si="4"/>
        <v/>
      </c>
      <c r="N83" s="116">
        <f t="shared" si="5"/>
        <v>-15</v>
      </c>
      <c r="O83" s="116">
        <f>VLOOKUP(B83,'Table 1'!$A$8:$G$99,7,FALSE)</f>
        <v>0</v>
      </c>
    </row>
    <row r="84" spans="1:15" ht="17.25" customHeight="1" x14ac:dyDescent="0.3">
      <c r="A84" s="112" t="s">
        <v>188</v>
      </c>
      <c r="B84" s="113" t="s">
        <v>93</v>
      </c>
      <c r="C84" s="114">
        <v>1.677778</v>
      </c>
      <c r="D84" s="114">
        <v>1.6</v>
      </c>
      <c r="E84" s="114">
        <v>2.5</v>
      </c>
      <c r="F84" s="114">
        <v>1.6906667200000001</v>
      </c>
      <c r="G84" s="114">
        <v>42.239854000000001</v>
      </c>
      <c r="H84" s="115" t="s">
        <v>123</v>
      </c>
      <c r="J84" s="116" t="e">
        <f t="shared" si="3"/>
        <v>#VALUE!</v>
      </c>
      <c r="L84" s="106" t="str">
        <f t="shared" si="4"/>
        <v/>
      </c>
      <c r="N84" s="116">
        <f t="shared" si="5"/>
        <v>65.863329273817314</v>
      </c>
      <c r="O84" s="116">
        <f>VLOOKUP(B84,'Table 1'!$A$8:$G$99,7,FALSE)</f>
        <v>80.863329273817314</v>
      </c>
    </row>
    <row r="85" spans="1:15" ht="17.25" customHeight="1" x14ac:dyDescent="0.3">
      <c r="A85" s="112" t="s">
        <v>189</v>
      </c>
      <c r="B85" s="113" t="s">
        <v>94</v>
      </c>
      <c r="C85" s="114">
        <v>3.2555553333333336</v>
      </c>
      <c r="D85" s="114">
        <v>2.7</v>
      </c>
      <c r="E85" s="114">
        <v>3.5</v>
      </c>
      <c r="F85" s="114">
        <v>2.8973332800000007</v>
      </c>
      <c r="G85" s="114">
        <v>172.954319</v>
      </c>
      <c r="H85" s="115">
        <v>2860</v>
      </c>
      <c r="J85" s="116">
        <f t="shared" si="3"/>
        <v>1555.5394234763796</v>
      </c>
      <c r="L85" s="106">
        <f t="shared" si="4"/>
        <v>1.4749584648301104</v>
      </c>
      <c r="N85" s="116">
        <f t="shared" si="5"/>
        <v>1054.6326968302465</v>
      </c>
      <c r="O85" s="116">
        <f>VLOOKUP(B85,'Table 1'!$A$8:$G$99,7,FALSE)</f>
        <v>1069.6326968302465</v>
      </c>
    </row>
    <row r="86" spans="1:15" ht="17.25" customHeight="1" x14ac:dyDescent="0.3">
      <c r="A86" s="112" t="s">
        <v>190</v>
      </c>
      <c r="B86" s="113" t="s">
        <v>95</v>
      </c>
      <c r="C86" s="114">
        <v>3.6666666666666665</v>
      </c>
      <c r="D86" s="114">
        <v>4</v>
      </c>
      <c r="E86" s="114">
        <v>3.5</v>
      </c>
      <c r="F86" s="114">
        <v>3.88</v>
      </c>
      <c r="G86" s="114">
        <v>0.78742400000000001</v>
      </c>
      <c r="H86" s="115" t="s">
        <v>123</v>
      </c>
      <c r="J86" s="116" t="e">
        <f t="shared" si="3"/>
        <v>#VALUE!</v>
      </c>
      <c r="L86" s="106" t="str">
        <f t="shared" si="4"/>
        <v/>
      </c>
      <c r="N86" s="116">
        <f t="shared" si="5"/>
        <v>11.1660307160803</v>
      </c>
      <c r="O86" s="116">
        <f>VLOOKUP(B86,'Table 1'!$A$8:$G$99,7,FALSE)</f>
        <v>26.1660307160803</v>
      </c>
    </row>
    <row r="87" spans="1:15" ht="17.25" customHeight="1" x14ac:dyDescent="0.3">
      <c r="A87" s="112" t="s">
        <v>191</v>
      </c>
      <c r="B87" s="113" t="s">
        <v>96</v>
      </c>
      <c r="C87" s="114">
        <v>3.0777776666666665</v>
      </c>
      <c r="D87" s="114">
        <v>3.2</v>
      </c>
      <c r="E87" s="114">
        <v>3</v>
      </c>
      <c r="F87" s="114">
        <v>3.1546666400000003</v>
      </c>
      <c r="G87" s="114">
        <v>0.52102099999999996</v>
      </c>
      <c r="H87" s="115">
        <v>11030</v>
      </c>
      <c r="J87" s="116">
        <f t="shared" si="3"/>
        <v>5.1096800702520682</v>
      </c>
      <c r="L87" s="106">
        <f t="shared" si="4"/>
        <v>1.4749584648301102</v>
      </c>
      <c r="N87" s="116">
        <f t="shared" si="5"/>
        <v>3.4642874305213844</v>
      </c>
      <c r="O87" s="116">
        <f>VLOOKUP(B87,'Table 1'!$A$8:$G$99,7,FALSE)</f>
        <v>18.464287430521384</v>
      </c>
    </row>
    <row r="88" spans="1:15" ht="17.25" customHeight="1" x14ac:dyDescent="0.3">
      <c r="A88" s="112" t="s">
        <v>192</v>
      </c>
      <c r="B88" s="113" t="s">
        <v>97</v>
      </c>
      <c r="C88" s="114">
        <v>3.555555333333333</v>
      </c>
      <c r="D88" s="114">
        <v>2.8</v>
      </c>
      <c r="E88" s="114">
        <v>3</v>
      </c>
      <c r="F88" s="114">
        <v>2.9973332799999994</v>
      </c>
      <c r="G88" s="114">
        <v>30.89659</v>
      </c>
      <c r="H88" s="115">
        <v>1370</v>
      </c>
      <c r="J88" s="116">
        <f t="shared" si="3"/>
        <v>337.30718034190869</v>
      </c>
      <c r="L88" s="106">
        <f t="shared" si="4"/>
        <v>1.4749584648301106</v>
      </c>
      <c r="N88" s="116">
        <f t="shared" si="5"/>
        <v>228.68927389135706</v>
      </c>
      <c r="O88" s="116">
        <f>VLOOKUP(B88,'Table 1'!$A$8:$G$99,7,FALSE)</f>
        <v>243.68927389135706</v>
      </c>
    </row>
    <row r="89" spans="1:15" ht="17.25" customHeight="1" x14ac:dyDescent="0.3">
      <c r="A89" s="112"/>
      <c r="B89" s="113" t="s">
        <v>98</v>
      </c>
      <c r="C89" s="114">
        <v>3.3444446666666665</v>
      </c>
      <c r="D89" s="114">
        <v>3.2</v>
      </c>
      <c r="E89" s="114">
        <v>3.5</v>
      </c>
      <c r="F89" s="114">
        <v>3.2586667199999999</v>
      </c>
      <c r="G89" s="114">
        <v>240.485658</v>
      </c>
      <c r="H89" s="115">
        <v>1500</v>
      </c>
      <c r="J89" s="116">
        <f t="shared" si="3"/>
        <v>3335.7816065357856</v>
      </c>
      <c r="L89" s="106">
        <f t="shared" si="4"/>
        <v>3.3020134021974377</v>
      </c>
      <c r="N89" s="116">
        <f t="shared" si="5"/>
        <v>1010.2265497516987</v>
      </c>
      <c r="O89" s="116">
        <f>VLOOKUP(B89,'Table 1'!$A$8:$G$99,7,FALSE)</f>
        <v>1025.2265497516987</v>
      </c>
    </row>
    <row r="90" spans="1:15" ht="17.25" customHeight="1" x14ac:dyDescent="0.3">
      <c r="A90" s="112" t="s">
        <v>193</v>
      </c>
      <c r="B90" s="113" t="s">
        <v>99</v>
      </c>
      <c r="C90" s="114">
        <v>3.0666666666666664</v>
      </c>
      <c r="D90" s="114">
        <v>3.3</v>
      </c>
      <c r="E90" s="114">
        <v>3.5</v>
      </c>
      <c r="F90" s="114">
        <v>3.26</v>
      </c>
      <c r="G90" s="114">
        <v>22.036999999999999</v>
      </c>
      <c r="H90" s="115">
        <v>3540</v>
      </c>
      <c r="J90" s="116">
        <f t="shared" si="3"/>
        <v>274.90324358245891</v>
      </c>
      <c r="L90" s="106">
        <f t="shared" si="4"/>
        <v>1.4749584648301108</v>
      </c>
      <c r="M90" s="106" t="s">
        <v>215</v>
      </c>
      <c r="N90" s="116">
        <f t="shared" si="5"/>
        <v>186.38032876005286</v>
      </c>
      <c r="O90" s="116">
        <f>VLOOKUP(B90,'Table 1'!$A$8:$G$99,7,FALSE)</f>
        <v>201.38032876005286</v>
      </c>
    </row>
    <row r="91" spans="1:15" ht="17.25" customHeight="1" x14ac:dyDescent="0.3">
      <c r="A91" s="112"/>
      <c r="B91" s="123"/>
      <c r="C91" s="124"/>
      <c r="D91" s="124"/>
      <c r="E91" s="124"/>
      <c r="F91" s="124"/>
      <c r="G91" s="124"/>
      <c r="H91" s="125"/>
    </row>
    <row r="92" spans="1:15" ht="17.25" customHeight="1" x14ac:dyDescent="0.3">
      <c r="A92" s="112"/>
      <c r="B92" s="126" t="s">
        <v>197</v>
      </c>
      <c r="C92" s="127"/>
      <c r="D92" s="127"/>
      <c r="E92" s="128"/>
      <c r="F92" s="127"/>
      <c r="G92" s="127"/>
      <c r="H92" s="129"/>
    </row>
    <row r="93" spans="1:15" ht="55.5" customHeight="1" x14ac:dyDescent="0.3">
      <c r="A93" s="130"/>
      <c r="B93" s="131" t="s">
        <v>206</v>
      </c>
      <c r="C93" s="131"/>
      <c r="D93" s="131"/>
      <c r="E93" s="131"/>
      <c r="F93" s="131"/>
      <c r="G93" s="131"/>
      <c r="H93" s="131"/>
    </row>
    <row r="94" spans="1:15" ht="6.6" customHeight="1" x14ac:dyDescent="0.3">
      <c r="A94" s="130"/>
      <c r="B94" s="132"/>
      <c r="C94" s="132"/>
      <c r="D94" s="132"/>
      <c r="E94" s="132"/>
      <c r="F94" s="132"/>
      <c r="G94" s="132"/>
      <c r="H94" s="132"/>
    </row>
    <row r="95" spans="1:15" ht="75" customHeight="1" x14ac:dyDescent="0.3">
      <c r="A95" s="130"/>
      <c r="B95" s="133" t="s">
        <v>198</v>
      </c>
      <c r="C95" s="133"/>
      <c r="D95" s="133"/>
      <c r="E95" s="133"/>
      <c r="F95" s="133"/>
      <c r="G95" s="133"/>
      <c r="H95" s="133"/>
    </row>
    <row r="96" spans="1:15" ht="10.5" customHeight="1" x14ac:dyDescent="0.3">
      <c r="A96" s="130"/>
      <c r="B96" s="132"/>
      <c r="C96" s="132"/>
      <c r="D96" s="132"/>
      <c r="E96" s="132"/>
      <c r="F96" s="132"/>
      <c r="G96" s="132"/>
      <c r="H96" s="132"/>
    </row>
    <row r="97" spans="1:8" ht="27.6" customHeight="1" x14ac:dyDescent="0.3">
      <c r="A97" s="130"/>
      <c r="B97" s="133" t="s">
        <v>199</v>
      </c>
      <c r="C97" s="133"/>
      <c r="D97" s="133"/>
      <c r="E97" s="133"/>
      <c r="F97" s="133"/>
      <c r="G97" s="133"/>
      <c r="H97" s="133"/>
    </row>
    <row r="98" spans="1:8" ht="30.6" customHeight="1" x14ac:dyDescent="0.3">
      <c r="A98" s="130"/>
      <c r="B98" s="132"/>
      <c r="C98" s="132"/>
      <c r="D98" s="132"/>
      <c r="E98" s="132"/>
      <c r="F98" s="132"/>
      <c r="G98" s="132"/>
      <c r="H98" s="132"/>
    </row>
    <row r="99" spans="1:8" x14ac:dyDescent="0.3">
      <c r="A99" s="130"/>
      <c r="C99" s="134"/>
      <c r="D99" s="134"/>
      <c r="E99" s="134"/>
      <c r="F99" s="135"/>
      <c r="G99" s="134"/>
      <c r="H99" s="134"/>
    </row>
    <row r="100" spans="1:8" x14ac:dyDescent="0.3">
      <c r="A100" s="130"/>
      <c r="C100" s="134"/>
      <c r="D100" s="134"/>
      <c r="E100" s="134"/>
      <c r="F100" s="135"/>
      <c r="G100" s="134"/>
      <c r="H100" s="134"/>
    </row>
    <row r="101" spans="1:8" x14ac:dyDescent="0.3">
      <c r="A101" s="130"/>
      <c r="C101" s="134"/>
      <c r="D101" s="134"/>
      <c r="E101" s="134"/>
      <c r="F101" s="135"/>
      <c r="G101" s="134"/>
      <c r="H101" s="134"/>
    </row>
    <row r="102" spans="1:8" x14ac:dyDescent="0.3">
      <c r="A102" s="130"/>
      <c r="C102" s="134"/>
      <c r="D102" s="134"/>
      <c r="E102" s="134"/>
      <c r="F102" s="135"/>
      <c r="G102" s="134"/>
      <c r="H102" s="134"/>
    </row>
    <row r="103" spans="1:8" x14ac:dyDescent="0.3">
      <c r="A103" s="130"/>
      <c r="C103" s="134"/>
      <c r="D103" s="134"/>
      <c r="E103" s="134"/>
      <c r="F103" s="135"/>
      <c r="G103" s="134"/>
      <c r="H103" s="134"/>
    </row>
    <row r="104" spans="1:8" x14ac:dyDescent="0.3">
      <c r="A104" s="130"/>
      <c r="C104" s="134"/>
      <c r="D104" s="136"/>
      <c r="E104" s="134"/>
      <c r="F104" s="135"/>
      <c r="G104" s="134"/>
      <c r="H104" s="134"/>
    </row>
    <row r="105" spans="1:8" x14ac:dyDescent="0.3">
      <c r="A105" s="130"/>
      <c r="C105" s="134"/>
      <c r="D105" s="134"/>
      <c r="E105" s="134"/>
      <c r="F105" s="135"/>
      <c r="G105" s="134"/>
      <c r="H105" s="134"/>
    </row>
    <row r="106" spans="1:8" x14ac:dyDescent="0.3">
      <c r="C106" s="134"/>
      <c r="D106" s="134"/>
      <c r="E106" s="134"/>
      <c r="F106" s="135"/>
      <c r="G106" s="134"/>
      <c r="H106" s="134"/>
    </row>
    <row r="107" spans="1:8" x14ac:dyDescent="0.3">
      <c r="A107" s="137"/>
      <c r="C107" s="134"/>
      <c r="D107" s="134"/>
      <c r="E107" s="134"/>
      <c r="F107" s="135"/>
      <c r="G107" s="134"/>
      <c r="H107" s="134"/>
    </row>
    <row r="108" spans="1:8" x14ac:dyDescent="0.3">
      <c r="A108" s="137"/>
      <c r="C108" s="134"/>
      <c r="D108" s="134"/>
      <c r="E108" s="134"/>
      <c r="F108" s="135"/>
      <c r="G108" s="134"/>
      <c r="H108" s="134"/>
    </row>
    <row r="109" spans="1:8" x14ac:dyDescent="0.3">
      <c r="A109" s="137"/>
      <c r="C109" s="134"/>
      <c r="D109" s="134"/>
      <c r="E109" s="134"/>
      <c r="F109" s="135"/>
      <c r="G109" s="134"/>
      <c r="H109" s="134"/>
    </row>
    <row r="110" spans="1:8" x14ac:dyDescent="0.3">
      <c r="A110" s="137"/>
      <c r="C110" s="134"/>
      <c r="D110" s="134"/>
      <c r="E110" s="134"/>
      <c r="F110" s="135"/>
      <c r="G110" s="134"/>
      <c r="H110" s="134"/>
    </row>
    <row r="111" spans="1:8" x14ac:dyDescent="0.3">
      <c r="A111" s="137"/>
      <c r="C111" s="134"/>
      <c r="D111" s="134"/>
      <c r="E111" s="134"/>
      <c r="F111" s="135"/>
      <c r="G111" s="134"/>
      <c r="H111" s="134"/>
    </row>
    <row r="112" spans="1:8" x14ac:dyDescent="0.3">
      <c r="A112" s="137"/>
      <c r="C112" s="134"/>
      <c r="D112" s="134"/>
      <c r="E112" s="134"/>
      <c r="F112" s="135"/>
      <c r="G112" s="134"/>
      <c r="H112" s="134"/>
    </row>
    <row r="113" spans="1:8" x14ac:dyDescent="0.3">
      <c r="A113" s="137"/>
      <c r="C113" s="134"/>
      <c r="D113" s="134"/>
      <c r="E113" s="134"/>
      <c r="F113" s="135"/>
      <c r="G113" s="134"/>
      <c r="H113" s="134"/>
    </row>
    <row r="114" spans="1:8" x14ac:dyDescent="0.3">
      <c r="A114" s="137"/>
      <c r="C114" s="134"/>
      <c r="D114" s="134"/>
      <c r="E114" s="134"/>
      <c r="F114" s="135"/>
      <c r="G114" s="134"/>
      <c r="H114" s="134"/>
    </row>
    <row r="115" spans="1:8" x14ac:dyDescent="0.3">
      <c r="A115" s="137"/>
      <c r="C115" s="134"/>
      <c r="D115" s="134"/>
      <c r="E115" s="134"/>
      <c r="F115" s="135"/>
      <c r="G115" s="134"/>
      <c r="H115" s="134"/>
    </row>
    <row r="116" spans="1:8" x14ac:dyDescent="0.3">
      <c r="A116" s="137"/>
      <c r="C116" s="134"/>
      <c r="D116" s="134"/>
      <c r="E116" s="134"/>
      <c r="F116" s="135"/>
      <c r="G116" s="134"/>
      <c r="H116" s="134"/>
    </row>
    <row r="117" spans="1:8" x14ac:dyDescent="0.3">
      <c r="A117" s="137"/>
      <c r="F117" s="138"/>
    </row>
    <row r="118" spans="1:8" x14ac:dyDescent="0.3">
      <c r="A118" s="137"/>
      <c r="F118" s="138"/>
    </row>
    <row r="119" spans="1:8" x14ac:dyDescent="0.3">
      <c r="A119" s="137"/>
      <c r="F119" s="138"/>
    </row>
    <row r="120" spans="1:8" x14ac:dyDescent="0.3">
      <c r="A120" s="137"/>
      <c r="F120" s="138"/>
    </row>
    <row r="121" spans="1:8" x14ac:dyDescent="0.3">
      <c r="A121" s="137"/>
      <c r="F121" s="138"/>
    </row>
    <row r="122" spans="1:8" x14ac:dyDescent="0.3">
      <c r="A122" s="137"/>
      <c r="F122" s="138"/>
    </row>
    <row r="123" spans="1:8" x14ac:dyDescent="0.3">
      <c r="A123" s="137"/>
      <c r="F123" s="138"/>
    </row>
    <row r="124" spans="1:8" x14ac:dyDescent="0.3">
      <c r="A124" s="137"/>
      <c r="F124" s="138"/>
    </row>
    <row r="125" spans="1:8" x14ac:dyDescent="0.3">
      <c r="A125" s="137"/>
      <c r="F125" s="138"/>
    </row>
    <row r="126" spans="1:8" s="139" customFormat="1" ht="31.5" customHeight="1" x14ac:dyDescent="0.3">
      <c r="A126" s="137"/>
      <c r="B126" s="106"/>
      <c r="C126" s="106"/>
      <c r="D126" s="106"/>
      <c r="E126" s="106"/>
      <c r="F126" s="138"/>
      <c r="G126" s="106"/>
      <c r="H126" s="106"/>
    </row>
    <row r="127" spans="1:8" s="139" customFormat="1" x14ac:dyDescent="0.3">
      <c r="A127" s="137"/>
      <c r="B127" s="106"/>
      <c r="C127" s="106"/>
      <c r="D127" s="106"/>
      <c r="E127" s="106"/>
      <c r="F127" s="106"/>
      <c r="G127" s="106"/>
      <c r="H127" s="106"/>
    </row>
    <row r="128" spans="1:8" s="139" customFormat="1" x14ac:dyDescent="0.3">
      <c r="A128" s="137"/>
      <c r="B128" s="106"/>
      <c r="C128" s="106"/>
      <c r="D128" s="106"/>
      <c r="E128" s="106"/>
      <c r="F128" s="106"/>
      <c r="G128" s="106"/>
      <c r="H128" s="106"/>
    </row>
    <row r="129" spans="1:8" s="139" customFormat="1" x14ac:dyDescent="0.3">
      <c r="A129" s="137"/>
      <c r="B129" s="106"/>
      <c r="C129" s="106"/>
      <c r="D129" s="106"/>
      <c r="E129" s="106"/>
      <c r="F129" s="106"/>
      <c r="G129" s="106"/>
      <c r="H129" s="106"/>
    </row>
    <row r="130" spans="1:8" s="139" customFormat="1" x14ac:dyDescent="0.3">
      <c r="A130" s="137"/>
      <c r="B130" s="106"/>
      <c r="C130" s="106"/>
      <c r="D130" s="106"/>
      <c r="E130" s="106"/>
      <c r="F130" s="106"/>
      <c r="G130" s="106"/>
      <c r="H130" s="106"/>
    </row>
    <row r="131" spans="1:8" s="139" customFormat="1" x14ac:dyDescent="0.3">
      <c r="A131" s="137"/>
      <c r="B131" s="106"/>
      <c r="C131" s="106"/>
      <c r="D131" s="106"/>
      <c r="E131" s="106"/>
      <c r="F131" s="106"/>
      <c r="G131" s="106"/>
      <c r="H131" s="106"/>
    </row>
    <row r="132" spans="1:8" s="139" customFormat="1" x14ac:dyDescent="0.3">
      <c r="A132" s="137"/>
      <c r="B132" s="106"/>
      <c r="C132" s="106"/>
      <c r="D132" s="106"/>
      <c r="E132" s="106"/>
      <c r="F132" s="106"/>
      <c r="G132" s="106"/>
      <c r="H132" s="106"/>
    </row>
    <row r="133" spans="1:8" s="139" customFormat="1" x14ac:dyDescent="0.3">
      <c r="A133" s="137"/>
      <c r="B133" s="106"/>
      <c r="C133" s="106"/>
      <c r="D133" s="106"/>
      <c r="E133" s="106"/>
      <c r="F133" s="106"/>
      <c r="G133" s="106"/>
      <c r="H133" s="106"/>
    </row>
    <row r="134" spans="1:8" s="139" customFormat="1" x14ac:dyDescent="0.3">
      <c r="A134" s="137"/>
      <c r="B134" s="106"/>
      <c r="C134" s="106"/>
      <c r="D134" s="106"/>
      <c r="E134" s="106"/>
      <c r="F134" s="106"/>
      <c r="G134" s="106"/>
      <c r="H134" s="106"/>
    </row>
    <row r="135" spans="1:8" s="139" customFormat="1" x14ac:dyDescent="0.3">
      <c r="A135" s="137"/>
      <c r="B135" s="106"/>
      <c r="C135" s="106"/>
      <c r="D135" s="106"/>
      <c r="E135" s="106"/>
      <c r="F135" s="106"/>
      <c r="G135" s="106"/>
      <c r="H135" s="106"/>
    </row>
    <row r="136" spans="1:8" s="139" customFormat="1" x14ac:dyDescent="0.3">
      <c r="A136" s="137"/>
      <c r="B136" s="106"/>
      <c r="C136" s="106"/>
      <c r="D136" s="106"/>
      <c r="E136" s="106"/>
      <c r="F136" s="106"/>
      <c r="G136" s="106"/>
      <c r="H136" s="106"/>
    </row>
    <row r="137" spans="1:8" s="139" customFormat="1" x14ac:dyDescent="0.3">
      <c r="A137" s="137"/>
      <c r="B137" s="106"/>
      <c r="C137" s="106"/>
      <c r="D137" s="106"/>
      <c r="E137" s="106"/>
      <c r="F137" s="106"/>
      <c r="G137" s="106"/>
      <c r="H137" s="106"/>
    </row>
    <row r="138" spans="1:8" s="139" customFormat="1" x14ac:dyDescent="0.3">
      <c r="A138" s="137"/>
      <c r="B138" s="106"/>
      <c r="C138" s="106"/>
      <c r="D138" s="106"/>
      <c r="E138" s="106"/>
      <c r="F138" s="106"/>
      <c r="G138" s="106"/>
      <c r="H138" s="106"/>
    </row>
    <row r="139" spans="1:8" s="139" customFormat="1" x14ac:dyDescent="0.3">
      <c r="A139" s="137"/>
      <c r="B139" s="106"/>
      <c r="C139" s="106"/>
      <c r="D139" s="106"/>
      <c r="E139" s="106"/>
      <c r="F139" s="106"/>
      <c r="G139" s="106"/>
      <c r="H139" s="106"/>
    </row>
    <row r="140" spans="1:8" s="139" customFormat="1" x14ac:dyDescent="0.3">
      <c r="A140" s="137"/>
      <c r="B140" s="106"/>
      <c r="C140" s="106"/>
      <c r="D140" s="106"/>
      <c r="E140" s="106"/>
      <c r="F140" s="106"/>
      <c r="G140" s="106"/>
      <c r="H140" s="106"/>
    </row>
    <row r="141" spans="1:8" s="139" customFormat="1" ht="50.25" customHeight="1" x14ac:dyDescent="0.3">
      <c r="A141" s="137"/>
      <c r="B141" s="106"/>
      <c r="C141" s="106"/>
      <c r="D141" s="106"/>
      <c r="E141" s="106"/>
      <c r="F141" s="106"/>
      <c r="G141" s="106"/>
      <c r="H141" s="106"/>
    </row>
    <row r="142" spans="1:8" s="139" customFormat="1" x14ac:dyDescent="0.3">
      <c r="A142" s="137"/>
      <c r="B142" s="106"/>
      <c r="C142" s="106"/>
      <c r="D142" s="106"/>
      <c r="E142" s="106"/>
      <c r="F142" s="106"/>
      <c r="G142" s="106"/>
      <c r="H142" s="106"/>
    </row>
    <row r="143" spans="1:8" s="139" customFormat="1" x14ac:dyDescent="0.3">
      <c r="A143" s="140"/>
      <c r="B143" s="106"/>
      <c r="C143" s="106"/>
      <c r="D143" s="106"/>
      <c r="E143" s="106"/>
      <c r="F143" s="106"/>
      <c r="G143" s="106"/>
      <c r="H143" s="106"/>
    </row>
    <row r="144" spans="1:8" s="139" customFormat="1" x14ac:dyDescent="0.3">
      <c r="A144" s="137"/>
      <c r="B144" s="106"/>
      <c r="C144" s="106"/>
      <c r="D144" s="106"/>
      <c r="E144" s="106"/>
      <c r="F144" s="106"/>
      <c r="G144" s="106"/>
      <c r="H144" s="106"/>
    </row>
    <row r="145" spans="1:8" s="139" customFormat="1" x14ac:dyDescent="0.3">
      <c r="A145" s="137"/>
      <c r="B145" s="106"/>
      <c r="C145" s="106"/>
      <c r="D145" s="106"/>
      <c r="E145" s="106"/>
      <c r="F145" s="106"/>
      <c r="G145" s="106"/>
      <c r="H145" s="106"/>
    </row>
    <row r="146" spans="1:8" s="139" customFormat="1" x14ac:dyDescent="0.3">
      <c r="A146" s="137"/>
      <c r="B146" s="106"/>
      <c r="C146" s="106"/>
      <c r="D146" s="106"/>
      <c r="E146" s="106"/>
      <c r="F146" s="106"/>
      <c r="G146" s="106"/>
      <c r="H146" s="106"/>
    </row>
    <row r="147" spans="1:8" s="139" customFormat="1" x14ac:dyDescent="0.3">
      <c r="A147" s="137"/>
      <c r="B147" s="106"/>
      <c r="C147" s="106"/>
      <c r="D147" s="106"/>
      <c r="E147" s="106"/>
      <c r="F147" s="106"/>
      <c r="G147" s="106"/>
      <c r="H147" s="106"/>
    </row>
    <row r="148" spans="1:8" s="139" customFormat="1" x14ac:dyDescent="0.3">
      <c r="A148" s="137"/>
      <c r="B148" s="106"/>
      <c r="C148" s="106"/>
      <c r="D148" s="106"/>
      <c r="E148" s="106"/>
      <c r="F148" s="106"/>
      <c r="G148" s="106"/>
      <c r="H148" s="106"/>
    </row>
    <row r="149" spans="1:8" s="139" customFormat="1" x14ac:dyDescent="0.3">
      <c r="A149" s="137"/>
      <c r="B149" s="106"/>
      <c r="C149" s="106"/>
      <c r="D149" s="106"/>
      <c r="E149" s="106"/>
      <c r="F149" s="106"/>
      <c r="G149" s="106"/>
      <c r="H149" s="106"/>
    </row>
    <row r="150" spans="1:8" s="139" customFormat="1" x14ac:dyDescent="0.3">
      <c r="A150" s="137"/>
      <c r="B150" s="106"/>
      <c r="C150" s="106"/>
      <c r="D150" s="106"/>
      <c r="E150" s="106"/>
      <c r="F150" s="106"/>
      <c r="G150" s="106"/>
      <c r="H150" s="106"/>
    </row>
    <row r="151" spans="1:8" s="139" customFormat="1" x14ac:dyDescent="0.3">
      <c r="A151" s="137"/>
      <c r="B151" s="106"/>
      <c r="C151" s="106"/>
      <c r="D151" s="106"/>
      <c r="E151" s="106"/>
      <c r="F151" s="106"/>
      <c r="G151" s="106"/>
      <c r="H151" s="106"/>
    </row>
    <row r="152" spans="1:8" s="139" customFormat="1" x14ac:dyDescent="0.3">
      <c r="A152" s="137"/>
      <c r="B152" s="106"/>
      <c r="C152" s="106"/>
      <c r="D152" s="106"/>
      <c r="E152" s="106"/>
      <c r="F152" s="106"/>
      <c r="G152" s="106"/>
      <c r="H152" s="106"/>
    </row>
    <row r="153" spans="1:8" s="139" customFormat="1" ht="15.6" x14ac:dyDescent="0.3">
      <c r="A153" s="141"/>
      <c r="B153" s="106"/>
      <c r="C153" s="106"/>
      <c r="D153" s="106"/>
      <c r="E153" s="106"/>
      <c r="F153" s="106"/>
      <c r="G153" s="106"/>
      <c r="H153" s="106"/>
    </row>
    <row r="154" spans="1:8" s="139" customFormat="1" x14ac:dyDescent="0.3">
      <c r="A154" s="142"/>
      <c r="B154" s="106"/>
      <c r="C154" s="106"/>
      <c r="D154" s="106"/>
      <c r="E154" s="106"/>
      <c r="F154" s="106"/>
      <c r="G154" s="106"/>
      <c r="H154" s="106"/>
    </row>
    <row r="155" spans="1:8" s="139" customFormat="1" x14ac:dyDescent="0.3">
      <c r="A155" s="142"/>
      <c r="B155" s="106"/>
      <c r="C155" s="106"/>
      <c r="D155" s="106"/>
      <c r="E155" s="106"/>
      <c r="F155" s="106"/>
      <c r="G155" s="106"/>
      <c r="H155" s="106"/>
    </row>
  </sheetData>
  <autoFilter ref="B6:O90" xr:uid="{B8CB01AD-BE23-4252-A5C1-7AC6B640F914}">
    <filterColumn colId="6">
      <customFilters>
        <customFilter operator="notEqual" val=" "/>
      </customFilters>
    </filterColumn>
  </autoFilter>
  <mergeCells count="3">
    <mergeCell ref="B97:H97"/>
    <mergeCell ref="B95:H95"/>
    <mergeCell ref="B93:H93"/>
  </mergeCells>
  <conditionalFormatting sqref="C11:F11">
    <cfRule type="containsText" dxfId="19" priority="16" operator="containsText" text="in distress">
      <formula>NOT(ISERROR(SEARCH("in distress",C11)))</formula>
    </cfRule>
    <cfRule type="containsText" dxfId="18" priority="17" operator="containsText" text="high">
      <formula>NOT(ISERROR(SEARCH("high",C11)))</formula>
    </cfRule>
    <cfRule type="containsText" dxfId="17" priority="18" operator="containsText" text="Yellow">
      <formula>NOT(ISERROR(SEARCH("Yellow",C11)))</formula>
    </cfRule>
    <cfRule type="containsText" dxfId="16" priority="19" operator="containsText" text="Green">
      <formula>NOT(ISERROR(SEARCH("Green",C11)))</formula>
    </cfRule>
    <cfRule type="containsText" dxfId="15" priority="20" operator="containsText" text="red">
      <formula>NOT(ISERROR(SEARCH("red",C11)))</formula>
    </cfRule>
  </conditionalFormatting>
  <conditionalFormatting sqref="E10">
    <cfRule type="containsText" dxfId="14" priority="11" operator="containsText" text="in distress">
      <formula>NOT(ISERROR(SEARCH("in distress",E10)))</formula>
    </cfRule>
    <cfRule type="containsText" dxfId="13" priority="12" operator="containsText" text="high">
      <formula>NOT(ISERROR(SEARCH("high",E10)))</formula>
    </cfRule>
    <cfRule type="containsText" dxfId="12" priority="13" operator="containsText" text="Yellow">
      <formula>NOT(ISERROR(SEARCH("Yellow",E10)))</formula>
    </cfRule>
    <cfRule type="containsText" dxfId="11" priority="14" operator="containsText" text="Green">
      <formula>NOT(ISERROR(SEARCH("Green",E10)))</formula>
    </cfRule>
    <cfRule type="containsText" dxfId="10" priority="15" operator="containsText" text="red">
      <formula>NOT(ISERROR(SEARCH("red",E10)))</formula>
    </cfRule>
  </conditionalFormatting>
  <conditionalFormatting sqref="F69">
    <cfRule type="containsText" dxfId="9" priority="6" operator="containsText" text="in distress">
      <formula>NOT(ISERROR(SEARCH("in distress",F69)))</formula>
    </cfRule>
    <cfRule type="containsText" dxfId="8" priority="7" operator="containsText" text="high">
      <formula>NOT(ISERROR(SEARCH("high",F69)))</formula>
    </cfRule>
    <cfRule type="containsText" dxfId="7" priority="8" operator="containsText" text="Yellow">
      <formula>NOT(ISERROR(SEARCH("Yellow",F69)))</formula>
    </cfRule>
    <cfRule type="containsText" dxfId="6" priority="9" operator="containsText" text="Green">
      <formula>NOT(ISERROR(SEARCH("Green",F69)))</formula>
    </cfRule>
    <cfRule type="containsText" dxfId="5" priority="10" operator="containsText" text="red">
      <formula>NOT(ISERROR(SEARCH("red",F69)))</formula>
    </cfRule>
  </conditionalFormatting>
  <conditionalFormatting sqref="F78">
    <cfRule type="containsText" dxfId="4" priority="1" operator="containsText" text="in distress">
      <formula>NOT(ISERROR(SEARCH("in distress",F78)))</formula>
    </cfRule>
    <cfRule type="containsText" dxfId="3" priority="2" operator="containsText" text="high">
      <formula>NOT(ISERROR(SEARCH("high",F78)))</formula>
    </cfRule>
    <cfRule type="containsText" dxfId="2" priority="3" operator="containsText" text="Yellow">
      <formula>NOT(ISERROR(SEARCH("Yellow",F78)))</formula>
    </cfRule>
    <cfRule type="containsText" dxfId="1" priority="4" operator="containsText" text="Green">
      <formula>NOT(ISERROR(SEARCH("Green",F78)))</formula>
    </cfRule>
    <cfRule type="containsText" dxfId="0" priority="5" operator="containsText" text="red">
      <formula>NOT(ISERROR(SEARCH("red",F78)))</formula>
    </cfRule>
  </conditionalFormatting>
  <pageMargins left="0.7" right="0.7" top="0.75" bottom="0.75" header="0.3" footer="0.3"/>
  <pageSetup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D1485-C383-454C-A91E-8E2D182FEC4E}">
  <dimension ref="A1:H79"/>
  <sheetViews>
    <sheetView tabSelected="1" workbookViewId="0">
      <selection activeCell="A2" sqref="A2"/>
    </sheetView>
  </sheetViews>
  <sheetFormatPr defaultRowHeight="14.4" x14ac:dyDescent="0.3"/>
  <sheetData>
    <row r="1" spans="1:8" x14ac:dyDescent="0.3">
      <c r="A1" t="s">
        <v>216</v>
      </c>
      <c r="B1" t="s">
        <v>217</v>
      </c>
      <c r="C1" t="s">
        <v>218</v>
      </c>
      <c r="D1" t="s">
        <v>219</v>
      </c>
      <c r="E1" t="s">
        <v>220</v>
      </c>
      <c r="F1" t="s">
        <v>221</v>
      </c>
      <c r="G1" t="s">
        <v>222</v>
      </c>
      <c r="H1" t="s">
        <v>223</v>
      </c>
    </row>
    <row r="2" spans="1:8" x14ac:dyDescent="0.3">
      <c r="A2" t="s">
        <v>10</v>
      </c>
      <c r="B2">
        <v>3.2888886666666668</v>
      </c>
      <c r="C2">
        <v>2.4</v>
      </c>
      <c r="D2">
        <v>3.5</v>
      </c>
      <c r="E2">
        <v>2.7013332800000001</v>
      </c>
      <c r="F2">
        <v>13.238559</v>
      </c>
      <c r="G2">
        <v>230</v>
      </c>
      <c r="H2">
        <v>183.14803373453134</v>
      </c>
    </row>
    <row r="3" spans="1:8" x14ac:dyDescent="0.3">
      <c r="A3" t="s">
        <v>13</v>
      </c>
      <c r="B3">
        <v>2.855555666666667</v>
      </c>
      <c r="C3">
        <v>2.1</v>
      </c>
      <c r="D3">
        <v>3.5</v>
      </c>
      <c r="E3">
        <v>2.3933333600000006</v>
      </c>
      <c r="F3">
        <v>0.85207500000000003</v>
      </c>
      <c r="G3">
        <v>1600</v>
      </c>
      <c r="H3">
        <v>18.149144709758794</v>
      </c>
    </row>
    <row r="4" spans="1:8" x14ac:dyDescent="0.3">
      <c r="A4" t="s">
        <v>14</v>
      </c>
      <c r="B4">
        <v>3.3666666666666667</v>
      </c>
      <c r="C4">
        <v>2.6</v>
      </c>
      <c r="D4">
        <v>3.5</v>
      </c>
      <c r="E4">
        <v>2.8559999999999999</v>
      </c>
      <c r="F4">
        <v>102.26280800000001</v>
      </c>
      <c r="G4">
        <v>660</v>
      </c>
      <c r="H4">
        <v>732.41349276383971</v>
      </c>
    </row>
    <row r="5" spans="1:8" x14ac:dyDescent="0.3">
      <c r="A5" t="s">
        <v>15</v>
      </c>
      <c r="B5">
        <v>1.7555556666666667</v>
      </c>
      <c r="C5">
        <v>1.5</v>
      </c>
      <c r="D5" t="s">
        <v>123</v>
      </c>
      <c r="E5">
        <v>1.5817778133333333</v>
      </c>
      <c r="F5">
        <v>3.748901</v>
      </c>
      <c r="G5" t="s">
        <v>123</v>
      </c>
      <c r="H5">
        <v>0</v>
      </c>
    </row>
    <row r="6" spans="1:8" x14ac:dyDescent="0.3">
      <c r="A6" t="s">
        <v>16</v>
      </c>
      <c r="B6" t="s">
        <v>123</v>
      </c>
      <c r="C6" t="s">
        <v>123</v>
      </c>
      <c r="D6" t="s">
        <v>123</v>
      </c>
      <c r="E6" t="s">
        <v>123</v>
      </c>
      <c r="F6">
        <v>1.2108220000000001</v>
      </c>
      <c r="G6">
        <v>3860</v>
      </c>
      <c r="H6">
        <v>20.795187629544774</v>
      </c>
    </row>
    <row r="7" spans="1:8" x14ac:dyDescent="0.3">
      <c r="A7" t="s">
        <v>18</v>
      </c>
      <c r="B7">
        <v>3.1666666666666665</v>
      </c>
      <c r="C7">
        <v>3.1</v>
      </c>
      <c r="D7">
        <v>4</v>
      </c>
      <c r="E7">
        <v>3.1879999999999997</v>
      </c>
      <c r="F7">
        <v>126.52706000000001</v>
      </c>
      <c r="G7">
        <v>1130</v>
      </c>
      <c r="H7">
        <v>1169.3134575733891</v>
      </c>
    </row>
    <row r="8" spans="1:8" x14ac:dyDescent="0.3">
      <c r="A8" t="s">
        <v>19</v>
      </c>
      <c r="B8">
        <v>3.911111</v>
      </c>
      <c r="C8">
        <v>3.6</v>
      </c>
      <c r="D8">
        <v>3</v>
      </c>
      <c r="E8">
        <v>3.6266666400000007</v>
      </c>
      <c r="F8">
        <v>55.100586</v>
      </c>
      <c r="G8">
        <v>2110</v>
      </c>
      <c r="H8">
        <v>699.48515303835052</v>
      </c>
    </row>
    <row r="9" spans="1:8" x14ac:dyDescent="0.3">
      <c r="A9" t="s">
        <v>20</v>
      </c>
      <c r="B9">
        <v>3.3888890000000003</v>
      </c>
      <c r="C9">
        <v>2.9</v>
      </c>
      <c r="D9">
        <v>3</v>
      </c>
      <c r="E9">
        <v>3.0253333600000003</v>
      </c>
      <c r="F9">
        <v>2.3303180000000001</v>
      </c>
      <c r="G9">
        <v>1160</v>
      </c>
      <c r="H9">
        <v>33.109141385005614</v>
      </c>
    </row>
    <row r="10" spans="1:8" x14ac:dyDescent="0.3">
      <c r="A10" t="s">
        <v>21</v>
      </c>
      <c r="B10">
        <v>3.4333333333333336</v>
      </c>
      <c r="C10">
        <v>2.7</v>
      </c>
      <c r="D10">
        <v>3.5</v>
      </c>
      <c r="E10">
        <v>2.9400000000000004</v>
      </c>
      <c r="F10">
        <v>30.325731999999999</v>
      </c>
      <c r="G10">
        <v>530</v>
      </c>
      <c r="H10">
        <v>253.52780380054259</v>
      </c>
    </row>
    <row r="11" spans="1:8" x14ac:dyDescent="0.3">
      <c r="A11" t="s">
        <v>22</v>
      </c>
      <c r="B11">
        <v>3.0333333333333332</v>
      </c>
      <c r="C11">
        <v>3</v>
      </c>
      <c r="D11">
        <v>3.5</v>
      </c>
      <c r="E11">
        <v>3.048</v>
      </c>
      <c r="F11">
        <v>20.931750999999998</v>
      </c>
      <c r="G11">
        <v>640</v>
      </c>
      <c r="H11">
        <v>194.18355981849254</v>
      </c>
    </row>
    <row r="12" spans="1:8" x14ac:dyDescent="0.3">
      <c r="A12" t="s">
        <v>23</v>
      </c>
      <c r="B12">
        <v>3.2111113333333332</v>
      </c>
      <c r="C12">
        <v>2.9</v>
      </c>
      <c r="D12">
        <v>3</v>
      </c>
      <c r="E12">
        <v>2.9826667200000001</v>
      </c>
      <c r="F12">
        <v>33.897354</v>
      </c>
      <c r="G12">
        <v>530</v>
      </c>
      <c r="H12">
        <v>456.64325013958052</v>
      </c>
    </row>
    <row r="13" spans="1:8" x14ac:dyDescent="0.3">
      <c r="A13" t="s">
        <v>24</v>
      </c>
      <c r="B13">
        <v>4.1888890000000005</v>
      </c>
      <c r="C13">
        <v>3.9</v>
      </c>
      <c r="D13">
        <v>3.5</v>
      </c>
      <c r="E13">
        <v>3.9373333600000002</v>
      </c>
      <c r="F13">
        <v>14.094683</v>
      </c>
      <c r="G13">
        <v>980</v>
      </c>
      <c r="H13">
        <v>261.59190866420533</v>
      </c>
    </row>
    <row r="14" spans="1:8" x14ac:dyDescent="0.3">
      <c r="A14" t="s">
        <v>25</v>
      </c>
      <c r="B14">
        <v>2.9</v>
      </c>
      <c r="C14">
        <v>3</v>
      </c>
      <c r="D14">
        <v>3.5</v>
      </c>
      <c r="E14">
        <v>3.016</v>
      </c>
      <c r="F14">
        <v>0.23185600000000001</v>
      </c>
      <c r="G14">
        <v>2480</v>
      </c>
      <c r="H14">
        <v>16.623402086980512</v>
      </c>
    </row>
    <row r="15" spans="1:8" x14ac:dyDescent="0.3">
      <c r="A15" t="s">
        <v>27</v>
      </c>
      <c r="B15">
        <v>2.3333333333333335</v>
      </c>
      <c r="C15">
        <v>1.9</v>
      </c>
      <c r="D15">
        <v>4</v>
      </c>
      <c r="E15">
        <v>2.1720000000000002</v>
      </c>
      <c r="F15">
        <v>18.143377999999998</v>
      </c>
      <c r="G15">
        <v>610</v>
      </c>
      <c r="H15">
        <v>227.7379139483611</v>
      </c>
    </row>
    <row r="16" spans="1:8" x14ac:dyDescent="0.3">
      <c r="A16" t="s">
        <v>28</v>
      </c>
      <c r="B16">
        <v>1.788889</v>
      </c>
      <c r="C16">
        <v>1.3</v>
      </c>
      <c r="D16">
        <v>3.5</v>
      </c>
      <c r="E16">
        <v>1.5933333600000001</v>
      </c>
      <c r="F16">
        <v>11.088796</v>
      </c>
      <c r="G16" t="s">
        <v>123</v>
      </c>
      <c r="H16">
        <v>71.482787772579314</v>
      </c>
    </row>
    <row r="17" spans="1:8" x14ac:dyDescent="0.3">
      <c r="A17" t="s">
        <v>29</v>
      </c>
      <c r="B17">
        <v>2.0666666666666669</v>
      </c>
      <c r="C17">
        <v>1.8</v>
      </c>
      <c r="D17">
        <v>4</v>
      </c>
      <c r="E17">
        <v>2.04</v>
      </c>
      <c r="F17">
        <v>48.109006000000001</v>
      </c>
      <c r="G17">
        <v>990</v>
      </c>
      <c r="H17">
        <v>131.91835494586866</v>
      </c>
    </row>
    <row r="18" spans="1:8" x14ac:dyDescent="0.3">
      <c r="A18" t="s">
        <v>30</v>
      </c>
      <c r="B18">
        <v>3.6444446666666668</v>
      </c>
      <c r="C18">
        <v>3.1</v>
      </c>
      <c r="D18">
        <v>3.5</v>
      </c>
      <c r="E18">
        <v>3.2626667200000004</v>
      </c>
      <c r="F18">
        <v>65.362889999999993</v>
      </c>
      <c r="G18">
        <v>1210</v>
      </c>
      <c r="H18">
        <v>648.75503599381113</v>
      </c>
    </row>
    <row r="19" spans="1:8" x14ac:dyDescent="0.3">
      <c r="A19" t="s">
        <v>31</v>
      </c>
      <c r="B19">
        <v>3.6333333333333333</v>
      </c>
      <c r="C19">
        <v>3.3</v>
      </c>
      <c r="D19">
        <v>3</v>
      </c>
      <c r="E19">
        <v>3.3559999999999999</v>
      </c>
      <c r="F19">
        <v>48.582334000000003</v>
      </c>
      <c r="G19">
        <v>980</v>
      </c>
      <c r="H19">
        <v>541.33370476366292</v>
      </c>
    </row>
    <row r="20" spans="1:8" x14ac:dyDescent="0.3">
      <c r="A20" t="s">
        <v>32</v>
      </c>
      <c r="B20">
        <v>3.3555553333333332</v>
      </c>
      <c r="C20">
        <v>2.9</v>
      </c>
      <c r="D20">
        <v>3.5</v>
      </c>
      <c r="E20">
        <v>3.0573332799999999</v>
      </c>
      <c r="F20">
        <v>20.569737</v>
      </c>
      <c r="G20">
        <v>1320</v>
      </c>
      <c r="H20">
        <v>177.33253032140195</v>
      </c>
    </row>
    <row r="21" spans="1:8" x14ac:dyDescent="0.3">
      <c r="A21" t="s">
        <v>33</v>
      </c>
      <c r="B21">
        <v>3.0111109999999996</v>
      </c>
      <c r="C21">
        <v>2.9</v>
      </c>
      <c r="D21">
        <v>4.5</v>
      </c>
      <c r="E21">
        <v>3.0546666399999998</v>
      </c>
      <c r="F21">
        <v>16.665409</v>
      </c>
      <c r="G21">
        <v>1740</v>
      </c>
      <c r="H21">
        <v>0</v>
      </c>
    </row>
    <row r="22" spans="1:8" x14ac:dyDescent="0.3">
      <c r="A22" t="s">
        <v>36</v>
      </c>
      <c r="B22">
        <v>3.9666666666666668</v>
      </c>
      <c r="C22">
        <v>3.7</v>
      </c>
      <c r="D22">
        <v>4</v>
      </c>
      <c r="E22">
        <v>3.7880000000000003</v>
      </c>
      <c r="F22">
        <v>13.712828</v>
      </c>
      <c r="G22">
        <v>1440</v>
      </c>
      <c r="H22">
        <v>381.84741241830716</v>
      </c>
    </row>
    <row r="23" spans="1:8" x14ac:dyDescent="0.3">
      <c r="A23" t="s">
        <v>37</v>
      </c>
      <c r="B23">
        <v>3.5</v>
      </c>
      <c r="C23">
        <v>3.2</v>
      </c>
      <c r="D23">
        <v>3.5</v>
      </c>
      <c r="E23">
        <v>3.2960000000000003</v>
      </c>
      <c r="F23">
        <v>23.251484999999999</v>
      </c>
      <c r="G23">
        <v>850</v>
      </c>
      <c r="H23">
        <v>257.91545559963089</v>
      </c>
    </row>
    <row r="24" spans="1:8" x14ac:dyDescent="0.3">
      <c r="A24" t="s">
        <v>38</v>
      </c>
      <c r="B24">
        <v>3.4333333333333336</v>
      </c>
      <c r="C24">
        <v>3</v>
      </c>
      <c r="D24">
        <v>3</v>
      </c>
      <c r="E24">
        <v>3.1040000000000001</v>
      </c>
      <c r="F24">
        <v>28.647293000000001</v>
      </c>
      <c r="G24">
        <v>1650</v>
      </c>
      <c r="H24">
        <v>245.082423938072</v>
      </c>
    </row>
    <row r="25" spans="1:8" x14ac:dyDescent="0.3">
      <c r="A25" t="s">
        <v>39</v>
      </c>
      <c r="B25">
        <v>3.8333333333333335</v>
      </c>
      <c r="C25">
        <v>4</v>
      </c>
      <c r="D25">
        <v>3.5</v>
      </c>
      <c r="E25">
        <v>3.92</v>
      </c>
      <c r="F25">
        <v>0.59868200000000005</v>
      </c>
      <c r="G25">
        <v>4280</v>
      </c>
      <c r="H25">
        <v>23.596944837877274</v>
      </c>
    </row>
    <row r="26" spans="1:8" x14ac:dyDescent="0.3">
      <c r="A26" t="s">
        <v>40</v>
      </c>
      <c r="B26">
        <v>2.6555556666666669</v>
      </c>
      <c r="C26">
        <v>2.4</v>
      </c>
      <c r="D26">
        <v>4</v>
      </c>
      <c r="E26">
        <v>2.5893333599999999</v>
      </c>
      <c r="F26">
        <v>5.7423149999999996</v>
      </c>
      <c r="G26">
        <v>470</v>
      </c>
      <c r="H26">
        <v>46.322678258527404</v>
      </c>
    </row>
    <row r="27" spans="1:8" x14ac:dyDescent="0.3">
      <c r="A27" t="s">
        <v>41</v>
      </c>
      <c r="B27">
        <v>2.8000000000000003</v>
      </c>
      <c r="C27">
        <v>2.4</v>
      </c>
      <c r="D27">
        <v>3</v>
      </c>
      <c r="E27">
        <v>2.5440000000000005</v>
      </c>
      <c r="F27">
        <v>18.278568</v>
      </c>
      <c r="G27">
        <v>710</v>
      </c>
      <c r="H27">
        <v>157.20932639726209</v>
      </c>
    </row>
    <row r="28" spans="1:8" x14ac:dyDescent="0.3">
      <c r="A28" t="s">
        <v>42</v>
      </c>
      <c r="B28">
        <v>2.8888890000000003</v>
      </c>
      <c r="C28">
        <v>2.8</v>
      </c>
      <c r="D28">
        <v>3</v>
      </c>
      <c r="E28">
        <v>2.8373333599999997</v>
      </c>
      <c r="F28">
        <v>6.1068689999999997</v>
      </c>
      <c r="G28">
        <v>2470</v>
      </c>
      <c r="H28">
        <v>50.619087309156782</v>
      </c>
    </row>
    <row r="29" spans="1:8" x14ac:dyDescent="0.3">
      <c r="A29" t="s">
        <v>43</v>
      </c>
      <c r="B29">
        <v>3.8444443333333331</v>
      </c>
      <c r="C29">
        <v>3.7</v>
      </c>
      <c r="D29">
        <v>3.5</v>
      </c>
      <c r="E29">
        <v>3.7186666400000004</v>
      </c>
      <c r="F29">
        <v>28.873034000000001</v>
      </c>
      <c r="G29">
        <v>2670</v>
      </c>
      <c r="H29">
        <v>390.45722609059004</v>
      </c>
    </row>
    <row r="30" spans="1:8" x14ac:dyDescent="0.3">
      <c r="A30" t="s">
        <v>44</v>
      </c>
      <c r="B30">
        <v>3.1444446666666668</v>
      </c>
      <c r="C30">
        <v>3.1</v>
      </c>
      <c r="D30">
        <v>3.5</v>
      </c>
      <c r="E30">
        <v>3.1426667200000002</v>
      </c>
      <c r="F30">
        <v>2.7731680000000001</v>
      </c>
      <c r="G30">
        <v>830</v>
      </c>
      <c r="H30">
        <v>90.424686384010968</v>
      </c>
    </row>
    <row r="31" spans="1:8" x14ac:dyDescent="0.3">
      <c r="A31" t="s">
        <v>45</v>
      </c>
      <c r="B31">
        <v>3.3444443333333331</v>
      </c>
      <c r="C31">
        <v>3.6</v>
      </c>
      <c r="D31">
        <v>3.5</v>
      </c>
      <c r="E31">
        <v>3.5306666400000006</v>
      </c>
      <c r="F31">
        <v>34.121985000000002</v>
      </c>
      <c r="G31">
        <v>2340</v>
      </c>
      <c r="H31">
        <v>401.07586857839533</v>
      </c>
    </row>
    <row r="32" spans="1:8" x14ac:dyDescent="0.3">
      <c r="A32" t="s">
        <v>46</v>
      </c>
      <c r="B32">
        <v>3.5222219999999997</v>
      </c>
      <c r="C32">
        <v>3</v>
      </c>
      <c r="D32">
        <v>2.5</v>
      </c>
      <c r="E32">
        <v>3.08533328</v>
      </c>
      <c r="F32">
        <v>14.190612</v>
      </c>
      <c r="G32">
        <v>1360</v>
      </c>
      <c r="H32">
        <v>129.66614780265195</v>
      </c>
    </row>
    <row r="33" spans="1:8" x14ac:dyDescent="0.3">
      <c r="A33" t="s">
        <v>47</v>
      </c>
      <c r="B33">
        <v>2.7222219999999999</v>
      </c>
      <c r="C33">
        <v>2.1</v>
      </c>
      <c r="D33">
        <v>3.5</v>
      </c>
      <c r="E33">
        <v>2.3613332800000002</v>
      </c>
      <c r="F33">
        <v>2.1508419999999999</v>
      </c>
      <c r="G33">
        <v>900</v>
      </c>
      <c r="H33">
        <v>23.203898302170252</v>
      </c>
    </row>
    <row r="34" spans="1:8" x14ac:dyDescent="0.3">
      <c r="A34" t="s">
        <v>48</v>
      </c>
      <c r="B34">
        <v>3.0888886666666671</v>
      </c>
      <c r="C34">
        <v>2.7</v>
      </c>
      <c r="D34">
        <v>3.5</v>
      </c>
      <c r="E34">
        <v>2.8573332800000006</v>
      </c>
      <c r="F34">
        <v>5.4183770000000004</v>
      </c>
      <c r="G34">
        <v>730</v>
      </c>
      <c r="H34">
        <v>52.58865357457686</v>
      </c>
    </row>
    <row r="35" spans="1:8" x14ac:dyDescent="0.3">
      <c r="A35" t="s">
        <v>49</v>
      </c>
      <c r="B35">
        <v>3.5111109999999996</v>
      </c>
      <c r="C35">
        <v>2.2999999999999998</v>
      </c>
      <c r="D35">
        <v>3.5</v>
      </c>
      <c r="E35">
        <v>2.6866666400000003</v>
      </c>
      <c r="F35">
        <v>23.293697999999999</v>
      </c>
      <c r="G35">
        <v>860</v>
      </c>
      <c r="H35">
        <v>146.60963717789676</v>
      </c>
    </row>
    <row r="36" spans="1:8" x14ac:dyDescent="0.3">
      <c r="A36" t="s">
        <v>50</v>
      </c>
      <c r="B36">
        <v>3.6222220000000003</v>
      </c>
      <c r="C36">
        <v>3.4</v>
      </c>
      <c r="D36">
        <v>3.5</v>
      </c>
      <c r="E36">
        <v>3.4613332800000007</v>
      </c>
      <c r="F36">
        <v>4.8629889999999998</v>
      </c>
      <c r="G36">
        <v>2150</v>
      </c>
      <c r="H36">
        <v>67.396097690499573</v>
      </c>
    </row>
    <row r="37" spans="1:8" x14ac:dyDescent="0.3">
      <c r="A37" t="s">
        <v>51</v>
      </c>
      <c r="B37">
        <v>3.4111113333333329</v>
      </c>
      <c r="C37">
        <v>3.2</v>
      </c>
      <c r="D37">
        <v>3.5</v>
      </c>
      <c r="E37">
        <v>3.2746667199999999</v>
      </c>
      <c r="F37">
        <v>27.202843000000001</v>
      </c>
      <c r="G37">
        <v>600</v>
      </c>
      <c r="H37">
        <v>306.11656387405782</v>
      </c>
    </row>
    <row r="38" spans="1:8" x14ac:dyDescent="0.3">
      <c r="A38" t="s">
        <v>52</v>
      </c>
      <c r="B38">
        <v>3.355555666666667</v>
      </c>
      <c r="C38">
        <v>2.7</v>
      </c>
      <c r="D38">
        <v>3</v>
      </c>
      <c r="E38">
        <v>2.8813333600000002</v>
      </c>
      <c r="F38">
        <v>223.804632</v>
      </c>
      <c r="G38">
        <v>1930</v>
      </c>
      <c r="H38">
        <v>1424.857240273974</v>
      </c>
    </row>
    <row r="39" spans="1:8" x14ac:dyDescent="0.3">
      <c r="A39" t="s">
        <v>53</v>
      </c>
      <c r="B39">
        <v>3.7333333333333329</v>
      </c>
      <c r="C39">
        <v>3.6</v>
      </c>
      <c r="D39">
        <v>3.5</v>
      </c>
      <c r="E39">
        <v>3.6240000000000006</v>
      </c>
      <c r="F39">
        <v>17.763162999999999</v>
      </c>
      <c r="G39">
        <v>1660</v>
      </c>
      <c r="H39">
        <v>241.87757231191713</v>
      </c>
    </row>
    <row r="40" spans="1:8" x14ac:dyDescent="0.3">
      <c r="A40" t="s">
        <v>54</v>
      </c>
      <c r="B40">
        <v>3.1999999999999997</v>
      </c>
      <c r="C40">
        <v>3.2</v>
      </c>
      <c r="D40">
        <v>4</v>
      </c>
      <c r="E40">
        <v>3.2639999999999998</v>
      </c>
      <c r="F40">
        <v>8.7910920000000008</v>
      </c>
      <c r="G40">
        <v>560</v>
      </c>
      <c r="H40">
        <v>108.97016323065546</v>
      </c>
    </row>
    <row r="41" spans="1:8" x14ac:dyDescent="0.3">
      <c r="A41" t="s">
        <v>55</v>
      </c>
      <c r="B41">
        <v>3.8888886666666664</v>
      </c>
      <c r="C41">
        <v>3.4</v>
      </c>
      <c r="D41">
        <v>3.5</v>
      </c>
      <c r="E41">
        <v>3.5253332799999999</v>
      </c>
      <c r="F41">
        <v>9.0537989999999997</v>
      </c>
      <c r="G41">
        <v>1030</v>
      </c>
      <c r="H41">
        <v>223.98565924494201</v>
      </c>
    </row>
    <row r="42" spans="1:8" x14ac:dyDescent="0.3">
      <c r="A42" t="s">
        <v>57</v>
      </c>
      <c r="B42">
        <v>3.8222223333333338</v>
      </c>
      <c r="C42">
        <v>2.8</v>
      </c>
      <c r="D42">
        <v>3.5</v>
      </c>
      <c r="E42">
        <v>3.1013333599999999</v>
      </c>
      <c r="F42">
        <v>16.944825999999999</v>
      </c>
      <c r="G42">
        <v>1810</v>
      </c>
      <c r="H42">
        <v>149.18156512561487</v>
      </c>
    </row>
    <row r="43" spans="1:8" x14ac:dyDescent="0.3">
      <c r="A43" t="s">
        <v>58</v>
      </c>
      <c r="B43">
        <v>3.5444446666666667</v>
      </c>
      <c r="C43">
        <v>3.2</v>
      </c>
      <c r="D43">
        <v>3.5</v>
      </c>
      <c r="E43">
        <v>3.3066667199999999</v>
      </c>
      <c r="F43">
        <v>0.93637499999999996</v>
      </c>
      <c r="G43">
        <v>5580</v>
      </c>
      <c r="H43">
        <v>22.807500448961868</v>
      </c>
    </row>
    <row r="44" spans="1:8" x14ac:dyDescent="0.3">
      <c r="A44" t="s">
        <v>59</v>
      </c>
      <c r="B44">
        <v>2.8444446666666665</v>
      </c>
      <c r="C44">
        <v>3.2</v>
      </c>
      <c r="D44">
        <v>3</v>
      </c>
      <c r="E44">
        <v>3.0986667199999998</v>
      </c>
      <c r="F44">
        <v>0.13351499999999999</v>
      </c>
      <c r="G44">
        <v>3730</v>
      </c>
      <c r="H44">
        <v>15.963410263929944</v>
      </c>
    </row>
    <row r="45" spans="1:8" x14ac:dyDescent="0.3">
      <c r="A45" t="s">
        <v>60</v>
      </c>
      <c r="B45">
        <v>3.0444443333333333</v>
      </c>
      <c r="C45">
        <v>2.8</v>
      </c>
      <c r="D45">
        <v>3.5</v>
      </c>
      <c r="E45">
        <v>2.9146666400000001</v>
      </c>
      <c r="F45">
        <v>7.6337789999999996</v>
      </c>
      <c r="G45">
        <v>2120</v>
      </c>
      <c r="H45">
        <v>64.196530992106233</v>
      </c>
    </row>
    <row r="46" spans="1:8" x14ac:dyDescent="0.3">
      <c r="A46" t="s">
        <v>61</v>
      </c>
      <c r="B46">
        <v>2.6</v>
      </c>
      <c r="C46">
        <v>2.8</v>
      </c>
      <c r="D46">
        <v>2.5</v>
      </c>
      <c r="E46">
        <v>2.7280000000000002</v>
      </c>
      <c r="F46">
        <v>4.1995999999999999E-2</v>
      </c>
      <c r="G46">
        <v>7570</v>
      </c>
      <c r="H46">
        <v>15.189266717193977</v>
      </c>
    </row>
    <row r="47" spans="1:8" x14ac:dyDescent="0.3">
      <c r="A47" t="s">
        <v>62</v>
      </c>
      <c r="B47">
        <v>2.7333333333333329</v>
      </c>
      <c r="C47">
        <v>2.9</v>
      </c>
      <c r="D47">
        <v>3</v>
      </c>
      <c r="E47">
        <v>2.8680000000000003</v>
      </c>
      <c r="F47">
        <v>0.11522399999999999</v>
      </c>
      <c r="G47">
        <v>4150</v>
      </c>
      <c r="H47">
        <v>15.65049593344132</v>
      </c>
    </row>
    <row r="48" spans="1:8" x14ac:dyDescent="0.3">
      <c r="A48" t="s">
        <v>64</v>
      </c>
      <c r="B48">
        <v>2.0111110000000001</v>
      </c>
      <c r="C48">
        <v>1.9</v>
      </c>
      <c r="D48">
        <v>4.5</v>
      </c>
      <c r="E48">
        <v>2.1346666399999998</v>
      </c>
      <c r="F48">
        <v>54.577997000000003</v>
      </c>
      <c r="G48">
        <v>1210</v>
      </c>
      <c r="H48">
        <v>40.802697545890354</v>
      </c>
    </row>
    <row r="49" spans="1:8" x14ac:dyDescent="0.3">
      <c r="A49" t="s">
        <v>65</v>
      </c>
      <c r="B49">
        <v>2.8666666666666667</v>
      </c>
      <c r="C49">
        <v>2.8</v>
      </c>
      <c r="D49">
        <v>2.5</v>
      </c>
      <c r="E49">
        <v>2.7919999999999998</v>
      </c>
      <c r="F49">
        <v>10.329931</v>
      </c>
      <c r="G49">
        <v>2840</v>
      </c>
      <c r="H49">
        <v>71.415582842886096</v>
      </c>
    </row>
    <row r="50" spans="1:8" x14ac:dyDescent="0.3">
      <c r="A50" t="s">
        <v>66</v>
      </c>
      <c r="B50">
        <v>3.9111113333333338</v>
      </c>
      <c r="C50">
        <v>4.0999999999999996</v>
      </c>
      <c r="D50">
        <v>3</v>
      </c>
      <c r="E50">
        <v>3.9666667200000001</v>
      </c>
      <c r="F50">
        <v>0.22568099999999999</v>
      </c>
      <c r="G50">
        <v>4020</v>
      </c>
      <c r="H50">
        <v>18.384262859143533</v>
      </c>
    </row>
    <row r="51" spans="1:8" x14ac:dyDescent="0.3">
      <c r="A51" t="s">
        <v>67</v>
      </c>
      <c r="B51">
        <v>2.9888890000000004</v>
      </c>
      <c r="C51">
        <v>2.7</v>
      </c>
      <c r="D51">
        <v>3.5</v>
      </c>
      <c r="E51">
        <v>2.8333333600000001</v>
      </c>
      <c r="F51">
        <v>0.74042399999999997</v>
      </c>
      <c r="G51">
        <v>2270</v>
      </c>
      <c r="H51">
        <v>19.346007684694108</v>
      </c>
    </row>
    <row r="52" spans="1:8" x14ac:dyDescent="0.3">
      <c r="A52" t="s">
        <v>68</v>
      </c>
      <c r="B52">
        <v>2.8555553333333332</v>
      </c>
      <c r="C52">
        <v>2.6</v>
      </c>
      <c r="D52">
        <v>2.5</v>
      </c>
      <c r="E52">
        <v>2.6533332800000005</v>
      </c>
      <c r="F52">
        <v>1.3605959999999999</v>
      </c>
      <c r="G52">
        <v>2140</v>
      </c>
      <c r="H52">
        <v>21.607285764216996</v>
      </c>
    </row>
    <row r="53" spans="1:8" x14ac:dyDescent="0.3">
      <c r="A53" t="s">
        <v>69</v>
      </c>
      <c r="B53">
        <v>3.411111</v>
      </c>
      <c r="C53">
        <v>3.6</v>
      </c>
      <c r="D53">
        <v>2.5</v>
      </c>
      <c r="E53">
        <v>3.4666666400000006</v>
      </c>
      <c r="F53">
        <v>0.10777299999999999</v>
      </c>
      <c r="G53" t="s">
        <v>123</v>
      </c>
      <c r="H53">
        <v>16.046155000706175</v>
      </c>
    </row>
    <row r="54" spans="1:8" x14ac:dyDescent="0.3">
      <c r="A54" t="s">
        <v>70</v>
      </c>
      <c r="B54">
        <v>2.7444446666666664</v>
      </c>
      <c r="C54">
        <v>3.2</v>
      </c>
      <c r="D54">
        <v>3</v>
      </c>
      <c r="E54">
        <v>3.0746667199999997</v>
      </c>
      <c r="F54">
        <v>1.1396E-2</v>
      </c>
      <c r="G54">
        <v>7550</v>
      </c>
      <c r="H54">
        <v>15.073556900732033</v>
      </c>
    </row>
    <row r="55" spans="1:8" x14ac:dyDescent="0.3">
      <c r="A55" t="s">
        <v>71</v>
      </c>
      <c r="B55">
        <v>3.3666666666666667</v>
      </c>
      <c r="C55">
        <v>3.1</v>
      </c>
      <c r="D55">
        <v>4</v>
      </c>
      <c r="E55">
        <v>3.2359999999999998</v>
      </c>
      <c r="F55">
        <v>0.33450600000000003</v>
      </c>
      <c r="G55">
        <v>3660</v>
      </c>
      <c r="H55">
        <v>17.755589521132613</v>
      </c>
    </row>
    <row r="56" spans="1:8" x14ac:dyDescent="0.3">
      <c r="A56" t="s">
        <v>73</v>
      </c>
      <c r="B56">
        <v>3.9111113333333338</v>
      </c>
      <c r="C56">
        <v>3.5</v>
      </c>
      <c r="D56">
        <v>3.5</v>
      </c>
      <c r="E56">
        <v>3.5986667200000007</v>
      </c>
      <c r="F56">
        <v>1.7563740000000001</v>
      </c>
      <c r="G56">
        <v>5980</v>
      </c>
      <c r="H56">
        <v>33.714336908062066</v>
      </c>
    </row>
    <row r="57" spans="1:8" x14ac:dyDescent="0.3">
      <c r="A57" t="s">
        <v>74</v>
      </c>
      <c r="B57">
        <v>3.7666666666666671</v>
      </c>
      <c r="C57">
        <v>3</v>
      </c>
      <c r="D57">
        <v>3.5</v>
      </c>
      <c r="E57">
        <v>3.2240000000000002</v>
      </c>
      <c r="F57">
        <v>7.1007999999999996</v>
      </c>
      <c r="G57">
        <v>1700</v>
      </c>
      <c r="H57">
        <v>78.66584009388356</v>
      </c>
    </row>
    <row r="58" spans="1:8" x14ac:dyDescent="0.3">
      <c r="A58" t="s">
        <v>75</v>
      </c>
      <c r="B58">
        <v>3.2222219999999999</v>
      </c>
      <c r="C58">
        <v>3.1</v>
      </c>
      <c r="D58">
        <v>3</v>
      </c>
      <c r="E58">
        <v>3.12133328</v>
      </c>
      <c r="F58">
        <v>10.143542999999999</v>
      </c>
      <c r="G58">
        <v>1440</v>
      </c>
      <c r="H58">
        <v>99.262628233367167</v>
      </c>
    </row>
    <row r="59" spans="1:8" x14ac:dyDescent="0.3">
      <c r="A59" t="s">
        <v>76</v>
      </c>
      <c r="B59">
        <v>3.8888890000000003</v>
      </c>
      <c r="C59">
        <v>3.7</v>
      </c>
      <c r="D59">
        <v>3</v>
      </c>
      <c r="E59">
        <v>3.6893333600000009</v>
      </c>
      <c r="F59">
        <v>36.412350000000004</v>
      </c>
      <c r="G59">
        <v>2360</v>
      </c>
      <c r="H59">
        <v>484.56813099276019</v>
      </c>
    </row>
    <row r="60" spans="1:8" x14ac:dyDescent="0.3">
      <c r="A60" t="s">
        <v>78</v>
      </c>
      <c r="B60" t="s">
        <v>123</v>
      </c>
      <c r="C60" t="s">
        <v>123</v>
      </c>
      <c r="D60" t="s">
        <v>123</v>
      </c>
      <c r="E60" t="s">
        <v>123</v>
      </c>
      <c r="F60">
        <v>0.410825</v>
      </c>
      <c r="G60">
        <v>7190</v>
      </c>
      <c r="H60">
        <v>17.512578331103576</v>
      </c>
    </row>
    <row r="61" spans="1:8" x14ac:dyDescent="0.3">
      <c r="A61" t="s">
        <v>79</v>
      </c>
      <c r="B61">
        <v>3.6333333333333333</v>
      </c>
      <c r="C61">
        <v>3.7</v>
      </c>
      <c r="D61">
        <v>3.5</v>
      </c>
      <c r="E61">
        <v>3.6680000000000001</v>
      </c>
      <c r="F61">
        <v>7.3039999999999994E-2</v>
      </c>
      <c r="G61">
        <v>8920</v>
      </c>
      <c r="H61">
        <v>15.783922894227763</v>
      </c>
    </row>
    <row r="62" spans="1:8" x14ac:dyDescent="0.3">
      <c r="A62" t="s">
        <v>80</v>
      </c>
      <c r="B62">
        <v>3.8000000000000003</v>
      </c>
      <c r="C62">
        <v>3.5</v>
      </c>
      <c r="D62">
        <v>3.5</v>
      </c>
      <c r="E62">
        <v>3.5720000000000001</v>
      </c>
      <c r="F62">
        <v>0.12618299999999999</v>
      </c>
      <c r="G62">
        <v>9800</v>
      </c>
      <c r="H62">
        <v>16.236095852059954</v>
      </c>
    </row>
    <row r="63" spans="1:8" x14ac:dyDescent="0.3">
      <c r="A63" t="s">
        <v>81</v>
      </c>
      <c r="B63">
        <v>3.3222223333333338</v>
      </c>
      <c r="C63">
        <v>3.2</v>
      </c>
      <c r="D63">
        <v>3.5</v>
      </c>
      <c r="E63">
        <v>3.2533333600000001</v>
      </c>
      <c r="F63">
        <v>0.81383399999999995</v>
      </c>
      <c r="G63">
        <v>20360</v>
      </c>
      <c r="H63">
        <v>20.497237707572499</v>
      </c>
    </row>
    <row r="64" spans="1:8" x14ac:dyDescent="0.3">
      <c r="A64" t="s">
        <v>82</v>
      </c>
      <c r="B64">
        <v>2.3222223333333334</v>
      </c>
      <c r="C64">
        <v>1.9</v>
      </c>
      <c r="D64">
        <v>3</v>
      </c>
      <c r="E64">
        <v>2.0893333600000004</v>
      </c>
      <c r="F64">
        <v>11.724762999999999</v>
      </c>
      <c r="G64">
        <v>1740</v>
      </c>
      <c r="H64">
        <v>63.873748778930526</v>
      </c>
    </row>
    <row r="65" spans="1:8" x14ac:dyDescent="0.3">
      <c r="A65" t="s">
        <v>83</v>
      </c>
      <c r="B65">
        <v>3.4444443333333332</v>
      </c>
      <c r="C65">
        <v>2.8</v>
      </c>
      <c r="D65">
        <v>2.5</v>
      </c>
      <c r="E65">
        <v>2.9306666400000001</v>
      </c>
      <c r="F65">
        <v>10.593798</v>
      </c>
      <c r="G65">
        <v>2900</v>
      </c>
      <c r="H65">
        <v>81.737726758712768</v>
      </c>
    </row>
    <row r="66" spans="1:8" x14ac:dyDescent="0.3">
      <c r="A66" t="s">
        <v>84</v>
      </c>
      <c r="B66">
        <v>3.5</v>
      </c>
      <c r="C66">
        <v>2.4</v>
      </c>
      <c r="D66">
        <v>4.5</v>
      </c>
      <c r="E66">
        <v>2.8319999999999999</v>
      </c>
      <c r="F66">
        <v>7.0463100000000001</v>
      </c>
      <c r="G66">
        <v>2270</v>
      </c>
      <c r="H66">
        <v>56.300800579553858</v>
      </c>
    </row>
    <row r="67" spans="1:8" x14ac:dyDescent="0.3">
      <c r="A67" t="s">
        <v>85</v>
      </c>
      <c r="B67">
        <v>3.6888890000000001</v>
      </c>
      <c r="C67">
        <v>3.8</v>
      </c>
      <c r="D67">
        <v>4.5</v>
      </c>
      <c r="E67">
        <v>3.8293333600000001</v>
      </c>
      <c r="F67">
        <v>0.18025099999999999</v>
      </c>
      <c r="G67">
        <v>12400</v>
      </c>
      <c r="H67">
        <v>17.112465899594575</v>
      </c>
    </row>
    <row r="68" spans="1:8" x14ac:dyDescent="0.3">
      <c r="A68" t="s">
        <v>86</v>
      </c>
      <c r="B68">
        <v>3.6444446666666668</v>
      </c>
      <c r="C68">
        <v>3.7</v>
      </c>
      <c r="D68">
        <v>4</v>
      </c>
      <c r="E68">
        <v>3.7106667200000003</v>
      </c>
      <c r="F68">
        <v>0.103698</v>
      </c>
      <c r="G68">
        <v>10070</v>
      </c>
      <c r="H68">
        <v>16.134926543661088</v>
      </c>
    </row>
    <row r="69" spans="1:8" x14ac:dyDescent="0.3">
      <c r="A69" t="s">
        <v>87</v>
      </c>
      <c r="B69" t="s">
        <v>123</v>
      </c>
      <c r="C69" t="s">
        <v>123</v>
      </c>
      <c r="D69" t="s">
        <v>123</v>
      </c>
      <c r="E69" t="s">
        <v>123</v>
      </c>
      <c r="F69">
        <v>0.62323600000000001</v>
      </c>
      <c r="G69">
        <v>5360</v>
      </c>
      <c r="H69">
        <v>16.996590182407299</v>
      </c>
    </row>
    <row r="70" spans="1:8" x14ac:dyDescent="0.3">
      <c r="A70" t="s">
        <v>89</v>
      </c>
      <c r="B70">
        <v>3.1333333333333333</v>
      </c>
      <c r="C70">
        <v>3.1</v>
      </c>
      <c r="D70">
        <v>4</v>
      </c>
      <c r="E70">
        <v>3.18</v>
      </c>
      <c r="F70">
        <v>1.136455</v>
      </c>
      <c r="G70">
        <v>3450</v>
      </c>
      <c r="H70">
        <v>23.950069878795865</v>
      </c>
    </row>
    <row r="71" spans="1:8" x14ac:dyDescent="0.3">
      <c r="A71" t="s">
        <v>90</v>
      </c>
      <c r="B71" t="s">
        <v>123</v>
      </c>
      <c r="C71" t="s">
        <v>123</v>
      </c>
      <c r="D71" t="s">
        <v>123</v>
      </c>
      <c r="E71" t="s">
        <v>123</v>
      </c>
      <c r="F71">
        <v>23.227014</v>
      </c>
      <c r="G71" t="s">
        <v>123</v>
      </c>
      <c r="H71">
        <v>107.7</v>
      </c>
    </row>
    <row r="72" spans="1:8" x14ac:dyDescent="0.3">
      <c r="A72" t="s">
        <v>91</v>
      </c>
      <c r="B72">
        <v>1.9555556666666665</v>
      </c>
      <c r="C72">
        <v>1.5</v>
      </c>
      <c r="D72">
        <v>3.5</v>
      </c>
      <c r="E72">
        <v>1.7693333599999999</v>
      </c>
      <c r="F72">
        <v>34.449824999999997</v>
      </c>
      <c r="G72" t="s">
        <v>123</v>
      </c>
      <c r="H72">
        <v>130.50877683579671</v>
      </c>
    </row>
    <row r="73" spans="1:8" x14ac:dyDescent="0.3">
      <c r="A73" t="s">
        <v>93</v>
      </c>
      <c r="B73">
        <v>1.677778</v>
      </c>
      <c r="C73">
        <v>1.6</v>
      </c>
      <c r="D73">
        <v>2.5</v>
      </c>
      <c r="E73">
        <v>1.6906667200000001</v>
      </c>
      <c r="F73">
        <v>42.239854000000001</v>
      </c>
      <c r="G73" t="s">
        <v>123</v>
      </c>
      <c r="H73">
        <v>80.863329273817314</v>
      </c>
    </row>
    <row r="74" spans="1:8" x14ac:dyDescent="0.3">
      <c r="A74" t="s">
        <v>94</v>
      </c>
      <c r="B74">
        <v>3.2555553333333336</v>
      </c>
      <c r="C74">
        <v>2.7</v>
      </c>
      <c r="D74">
        <v>3.5</v>
      </c>
      <c r="E74">
        <v>2.8973332800000007</v>
      </c>
      <c r="F74">
        <v>172.954319</v>
      </c>
      <c r="G74">
        <v>2860</v>
      </c>
      <c r="H74">
        <v>1069.6326968302465</v>
      </c>
    </row>
    <row r="75" spans="1:8" x14ac:dyDescent="0.3">
      <c r="A75" t="s">
        <v>95</v>
      </c>
      <c r="B75">
        <v>3.6666666666666665</v>
      </c>
      <c r="C75">
        <v>4</v>
      </c>
      <c r="D75">
        <v>3.5</v>
      </c>
      <c r="E75">
        <v>3.88</v>
      </c>
      <c r="F75">
        <v>0.78742400000000001</v>
      </c>
      <c r="G75" t="s">
        <v>123</v>
      </c>
      <c r="H75">
        <v>26.1660307160803</v>
      </c>
    </row>
    <row r="76" spans="1:8" x14ac:dyDescent="0.3">
      <c r="A76" t="s">
        <v>96</v>
      </c>
      <c r="B76">
        <v>3.0777776666666665</v>
      </c>
      <c r="C76">
        <v>3.2</v>
      </c>
      <c r="D76">
        <v>3</v>
      </c>
      <c r="E76">
        <v>3.1546666400000003</v>
      </c>
      <c r="F76">
        <v>0.52102099999999996</v>
      </c>
      <c r="G76">
        <v>11030</v>
      </c>
      <c r="H76">
        <v>18.464287430521384</v>
      </c>
    </row>
    <row r="77" spans="1:8" x14ac:dyDescent="0.3">
      <c r="A77" t="s">
        <v>97</v>
      </c>
      <c r="B77">
        <v>3.555555333333333</v>
      </c>
      <c r="C77">
        <v>2.8</v>
      </c>
      <c r="D77">
        <v>3</v>
      </c>
      <c r="E77">
        <v>2.9973332799999994</v>
      </c>
      <c r="F77">
        <v>30.89659</v>
      </c>
      <c r="G77">
        <v>1370</v>
      </c>
      <c r="H77">
        <v>243.68927389135706</v>
      </c>
    </row>
    <row r="78" spans="1:8" x14ac:dyDescent="0.3">
      <c r="A78" t="s">
        <v>98</v>
      </c>
      <c r="B78">
        <v>3.3444446666666665</v>
      </c>
      <c r="C78">
        <v>3.2</v>
      </c>
      <c r="D78">
        <v>3.5</v>
      </c>
      <c r="E78">
        <v>3.2586667199999999</v>
      </c>
      <c r="F78">
        <v>240.485658</v>
      </c>
      <c r="G78">
        <v>1500</v>
      </c>
      <c r="H78">
        <v>1025.2265497516987</v>
      </c>
    </row>
    <row r="79" spans="1:8" x14ac:dyDescent="0.3">
      <c r="A79" t="s">
        <v>99</v>
      </c>
      <c r="B79">
        <v>3.0666666666666664</v>
      </c>
      <c r="C79">
        <v>3.3</v>
      </c>
      <c r="D79">
        <v>3.5</v>
      </c>
      <c r="E79">
        <v>3.26</v>
      </c>
      <c r="F79">
        <v>22.036999999999999</v>
      </c>
      <c r="G79">
        <v>3540</v>
      </c>
      <c r="H79">
        <v>201.38032876005286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Sheet1</vt:lpstr>
      <vt:lpstr>Table 2</vt:lpstr>
      <vt:lpstr>forR</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Khachatryan</dc:creator>
  <cp:lastModifiedBy>Euan Ritchie</cp:lastModifiedBy>
  <cp:lastPrinted>2026-02-19T21:24:00Z</cp:lastPrinted>
  <dcterms:created xsi:type="dcterms:W3CDTF">2025-11-24T16:51:46Z</dcterms:created>
  <dcterms:modified xsi:type="dcterms:W3CDTF">2026-09-28T10:22:14Z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2025-11-24T16:54:44Z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946bceb7-dcb1-4c3e-a3d2-be3346617073</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